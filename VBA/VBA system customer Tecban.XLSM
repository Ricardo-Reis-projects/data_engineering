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theme/themeOverride1.xml" ContentType="application/vnd.openxmlformats-officedocument.themeOverride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bt03075\Desktop\Ricardo Reis\PROJETOS EM ANDAMENTO\AUTOMATIZAÇÃO - Unificação de Base\EM UTILIZAÇÃO\"/>
    </mc:Choice>
  </mc:AlternateContent>
  <bookViews>
    <workbookView xWindow="0" yWindow="0" windowWidth="28800" windowHeight="12210"/>
  </bookViews>
  <sheets>
    <sheet name="MENU" sheetId="1" r:id="rId1"/>
    <sheet name="ESQUELETO" sheetId="3" r:id="rId2"/>
    <sheet name="APOIO" sheetId="4" r:id="rId3"/>
    <sheet name="EMAIL" sheetId="8" r:id="rId4"/>
    <sheet name="DESTINATARIOS" sheetId="7" r:id="rId5"/>
  </sheets>
  <functionGroups builtInGroupCount="18"/>
  <definedNames>
    <definedName name="_3">#REF!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61" i="4" l="1"/>
  <c r="N32" i="4" l="1"/>
  <c r="N31" i="4"/>
  <c r="J32" i="4"/>
  <c r="J31" i="4"/>
  <c r="N3" i="4"/>
  <c r="N2" i="4"/>
  <c r="A11" i="8"/>
  <c r="A19" i="8"/>
  <c r="G59" i="4"/>
  <c r="A16" i="8" l="1"/>
  <c r="A8" i="8"/>
  <c r="G39" i="4"/>
  <c r="B49" i="4" l="1"/>
  <c r="B48" i="4"/>
  <c r="D47" i="4" l="1"/>
  <c r="F47" i="4"/>
  <c r="H54" i="4"/>
  <c r="E1" i="4"/>
  <c r="H57" i="4"/>
  <c r="H58" i="4" s="1"/>
  <c r="H55" i="4"/>
  <c r="G53" i="4"/>
  <c r="B54" i="4"/>
  <c r="C55" i="4"/>
  <c r="E43" i="4"/>
  <c r="C57" i="4" s="1"/>
  <c r="F49" i="4"/>
  <c r="F48" i="4"/>
  <c r="D49" i="4"/>
  <c r="D48" i="4"/>
  <c r="F50" i="4" l="1"/>
  <c r="H60" i="4"/>
  <c r="C58" i="4"/>
  <c r="H6" i="4"/>
  <c r="E49" i="4"/>
  <c r="G49" i="4" s="1"/>
  <c r="E48" i="4" l="1"/>
  <c r="G48" i="4" s="1"/>
  <c r="D50" i="4"/>
  <c r="D3" i="4"/>
  <c r="E5" i="4" l="1"/>
  <c r="E11" i="4" s="1"/>
  <c r="A2" i="8"/>
  <c r="K3" i="4" l="1"/>
  <c r="K5" i="4"/>
  <c r="K4" i="4"/>
  <c r="E10" i="4"/>
  <c r="E6" i="4" s="1"/>
  <c r="C50" i="4"/>
  <c r="E47" i="4"/>
  <c r="E50" i="4" s="1"/>
  <c r="B47" i="4"/>
  <c r="B50" i="4" s="1"/>
  <c r="C56" i="4" s="1"/>
  <c r="C60" i="4" s="1"/>
  <c r="G47" i="4" l="1"/>
  <c r="G50" i="4" s="1"/>
</calcChain>
</file>

<file path=xl/sharedStrings.xml><?xml version="1.0" encoding="utf-8"?>
<sst xmlns="http://schemas.openxmlformats.org/spreadsheetml/2006/main" count="403" uniqueCount="173">
  <si>
    <t>BASE RIO DE JANEIRO</t>
  </si>
  <si>
    <t>BASE SALVADOR</t>
  </si>
  <si>
    <t>BASE RECIFE</t>
  </si>
  <si>
    <t>BASE VITORIA</t>
  </si>
  <si>
    <t>BASE CONGONHAS</t>
  </si>
  <si>
    <t>BASE LIMAO</t>
  </si>
  <si>
    <t>BASE NATAL</t>
  </si>
  <si>
    <t>BASE CAMPINA GRANDE</t>
  </si>
  <si>
    <t>BASE MACAPA</t>
  </si>
  <si>
    <t>BASE TERESINA</t>
  </si>
  <si>
    <t>BASE MACEIO</t>
  </si>
  <si>
    <t>BASE ITABUNA</t>
  </si>
  <si>
    <t>BASE PORTO ALEGRE</t>
  </si>
  <si>
    <t>BASE CAMPO GRANDE</t>
  </si>
  <si>
    <t>BASE CURITIBA</t>
  </si>
  <si>
    <t>BASE PARNAIBA</t>
  </si>
  <si>
    <t>BASE VITORIA DA CONQUISTA</t>
  </si>
  <si>
    <t>BASE PORTO VELHO</t>
  </si>
  <si>
    <t>BASE SANTOS</t>
  </si>
  <si>
    <t>BASE SAO JOSE DOS CAMPOS</t>
  </si>
  <si>
    <t>BASE ARACAJU</t>
  </si>
  <si>
    <t>BASE PETROLINA</t>
  </si>
  <si>
    <t>BASE BAURU</t>
  </si>
  <si>
    <t>BASE SOROCABA</t>
  </si>
  <si>
    <t>BASE PRESIDENTE PRUDENTE</t>
  </si>
  <si>
    <t>BASE CAMPINAS</t>
  </si>
  <si>
    <t>BASE BARREIRAS</t>
  </si>
  <si>
    <t>BASE PORTO SEGURO</t>
  </si>
  <si>
    <t>LISTA BASE</t>
  </si>
  <si>
    <t>Indicador Diário TBFORTE</t>
  </si>
  <si>
    <t>BASE</t>
  </si>
  <si>
    <t>DATA PROGRAMACAO</t>
  </si>
  <si>
    <t>VALOR PROGRAMADO</t>
  </si>
  <si>
    <t>QTD PROGRAMADA</t>
  </si>
  <si>
    <t>CAPACIDADE OPERACIONAL</t>
  </si>
  <si>
    <t>QUANTIDADE TROCA TOTAL PROGRAMADA</t>
  </si>
  <si>
    <t>VALOR CUSTÓDIA (FINAL)</t>
  </si>
  <si>
    <t>RISCO COBERTO ATÉ</t>
  </si>
  <si>
    <t>Qtd. Abt. Improdutivo</t>
  </si>
  <si>
    <t>Qtd. Abt. Cancelados</t>
  </si>
  <si>
    <t>Indisponibilidade (falta de numerário)</t>
  </si>
  <si>
    <t>OBSERVAÇÃO (Diagnóstico do Analista)</t>
  </si>
  <si>
    <t>MATRIZ</t>
  </si>
  <si>
    <t>BASE SAO MATEUS</t>
  </si>
  <si>
    <t>SOBRA CAPACIDADE</t>
  </si>
  <si>
    <t>Malote Médio</t>
  </si>
  <si>
    <t>% de Troca Total em relação a programação</t>
  </si>
  <si>
    <t>% de Abastecimentos Improdutivos</t>
  </si>
  <si>
    <t>FATORES EXTERNOS</t>
  </si>
  <si>
    <t>PROGRAMADOS</t>
  </si>
  <si>
    <t>PROBLEMAS TECBAN</t>
  </si>
  <si>
    <t>REPROGRAMADOS</t>
  </si>
  <si>
    <t>PROBLEMAS TBFORTE</t>
  </si>
  <si>
    <t>MALOTES ABASTECIDOS</t>
  </si>
  <si>
    <t>MALOTES PENDENTES / REPROGRAMADOS</t>
  </si>
  <si>
    <t>MALOTES CANCELADOS</t>
  </si>
  <si>
    <t>MALOTES AGUARDANDO CONFIRMAÇÃO</t>
  </si>
  <si>
    <t>MALOTES NÃO ABASTECIDOS</t>
  </si>
  <si>
    <t>TOTAL EM ROTEIRO</t>
  </si>
  <si>
    <t>Abastecidos</t>
  </si>
  <si>
    <t>Improdutivos TBForte</t>
  </si>
  <si>
    <t>Outro improdutivos</t>
  </si>
  <si>
    <t>ABASTECIMENTOS NÃO REALIZADOS</t>
  </si>
  <si>
    <t>BASE:</t>
  </si>
  <si>
    <t>DATA:</t>
  </si>
  <si>
    <t>QTD Cancelados (D-2)</t>
  </si>
  <si>
    <t>QTD Improdutivos (D-2)</t>
  </si>
  <si>
    <t>Com Cópia</t>
  </si>
  <si>
    <t>Destinatário</t>
  </si>
  <si>
    <t>GV</t>
  </si>
  <si>
    <t>EMAIL</t>
  </si>
  <si>
    <t>EMAIL CC</t>
  </si>
  <si>
    <t>Eduardo Silva De Oliveira &lt;Eduardo.Silva@tecban.com.br&gt;; Erick Minutelli &lt;Erick.Minutelli@tecban.com.br&gt;; 'Jorge Luiz Da Silva (Jorge.Silva@tecban.com.br)'; Antonio Roberto Silva &lt;Antonio.Silva@tecban.com.br&gt;; _Grupo_Planej_Numerario_Micro &lt;_Grupo_Planej_Numerario_Micro@tecban.com.br&gt;</t>
  </si>
  <si>
    <t>JOSILDO.DANTAS@TECBAN.COM.BR</t>
  </si>
  <si>
    <t>Edgard dos Santos Pereira Neto &lt;Edgard.Pereira@tbforte.com.br&gt;; Isac Samuel de Abreu &lt;isac.abreu@tbforte.com.br&gt;; Guido Vandercio Firmiano (Guido.Firmiano@tbforte.com.br)</t>
  </si>
  <si>
    <t>Eduardo Silva De Oliveira &lt;Eduardo.Silva@tecban.com.br&gt;; Erick Minutelli &lt;Erick.Minutelli@tecban.com.br&gt;; Alexandre Jose Oliveira de Araujo &lt;Alexandre.Araujo@tecban.com.br&gt;; 'Jorge Luiz Da Silva (Jorge.Silva@tecban.com.br)'; _Grupo_Planej_Numerario_Micro &lt;_Grupo_Planej_Numerario_Micro@tecban.com.br&gt;</t>
  </si>
  <si>
    <t>Sidnei Celso da Silva &lt;Sidnei.Silva@tbforte.com.br&gt;; Sidnei Nere dos Santos &lt;Sidnei.Santos@tbforte.com.br&gt;</t>
  </si>
  <si>
    <t>Eduardo Silva De Oliveira &lt;Eduardo.Silva@tecban.com.br&gt;; Erick Minutelli &lt;Erick.Minutelli@tecban.com.br&gt;; 'Jorge Luiz Da Silva (Jorge.Silva@tecban.com.br)'; _Grupo_Planej_Numerario_Micro &lt;_Grupo_Planej_Numerario_Micro@tecban.com.br&gt;; Fábio Oliveira - Diretor Renaforte &lt;fabiooliveira@renaforte.com.br&gt;</t>
  </si>
  <si>
    <t>Alexandre Albuquerque de Moura &lt;Alexandre.Moura@tbforte.com.br&gt;; Eduardo Rodrigues Da Silva &lt;Eduardo.Rodrigues-Silva@tbforte.com.br&gt;</t>
  </si>
  <si>
    <t>Eduardo Silva De Oliveira &lt;Eduardo.Silva@tecban.com.br&gt;; Erick Minutelli &lt;Erick.Minutelli@tecban.com.br&gt;; Jorge Luiz Da Silva (Jorge.Silva@tecban.com.br); Fernando Bicocchi &lt;Fernando.Bicocchi@tecban.com.br&gt;; _Grupo_Planej_Numerario_Micro &lt;_Grupo_Planej_Numerario_Micro@tecban.com.br&gt;</t>
  </si>
  <si>
    <t>Isac Samuel de Abreu &lt;isac.abreu@tbforte.com.br&gt;; Edite Silva Costa &lt;Edite.Costa@tbforte.com.br&gt;; Ronaldo Gabriel Prata &lt;Ronaldo.GabrielPrata@tbforte.com.br&gt;; Emerson Borges Pereira &lt;Emerson.Pereira@tbforte.com.br&gt;</t>
  </si>
  <si>
    <t>Eduardo Silva De Oliveira &lt;Eduardo.Silva@tecban.com.br&gt;; Erick Minutelli &lt;Erick.Minutelli@tecban.com.br&gt;; Marcos Fabricio Zocolotte Alvarenga &lt;Marcos.Fabricio@tecban.com.br&gt;; Alexandre Jose Oliveira de Araujo &lt;Alexandre.Araujo@tecban.com.br&gt;; _Grupo_Planej_Numerario_Micro &lt;_Grupo_Planej_Numerario_Micro@tecban.com.br&gt;</t>
  </si>
  <si>
    <t>Paulo Roberto Sousa Soares &lt;Paulo.Soares@tbforte.com.br&gt;; Emerson Souza Lopes &lt;Emerson.Lopes@tbforte.com.br&gt;; Sidnei Nere dos Santos &lt;Sidnei.Santos@tbforte.com.br&gt;</t>
  </si>
  <si>
    <t>Eduardo Silva De Oliveira &lt;Eduardo.Silva@tecban.com.br&gt;; Erick Minutelli &lt;Erick.Minutelli@tecban.com.br&gt;; Airton Martins Bastos &lt;Airton.Bastos@tecban.com.br&gt;; Paulo Cesar De Oliveira Junior &lt;Paulo.Cesar@tecban.com.br&gt;; Antonio Augusto Dainese &lt;Antonio.Dainese@tecban.com.br&gt;; Robson Soares Da Conceicao &lt;Robson.Soares@tecban.com.br&gt;; Emanoel Bechara (Bechara@tecban.com.br); _Grupo_Planej_Numerario_Micro &lt;_Grupo_Planej_Numerario_Micro@tecban.com.br&gt;</t>
  </si>
  <si>
    <t>_Grupo_Operacoes_tbforte_SM &lt;_Grupo_Operacoes_tbforte_SM@tbforte.com.br&gt;; 'genildo.pereira@tecban.com.br'; 'andressa.gomes@tecban.com.br'; 'sidnei.santos@tecban.com.br'; 'aurineide.silva@tecban.com.br'; 'cibele.silva@tecban.com.br'; 'suzy.fiuza@tecban.com.br'; Jose Vilar Martins Junior &lt;Jose.Martins@tecban.com.br&gt;; 'Teresinha.francisco@tecban.com.br'; Joao Paulo Coelho &lt;Joao.Coelho@tecban.com.br&gt;; 'angelica.miranda@tecban.com.br'</t>
  </si>
  <si>
    <t>_Grupo_Planej_Numerario_Micro &lt;_Grupo_Planej_Numerario_Micro@tecban.com.br&gt;; Eduardo Silva De Oliveira &lt;Eduardo.Silva@tecban.com.br&gt;; Erick Minutelli (Erick.Minutelli@tecban.com.br); Claudinei Kuchta De Almeida (Claudinei.Almeida@tecban.com.br)</t>
  </si>
  <si>
    <t>Eduardo Silva De Oliveira &lt;Eduardo.Silva@tecban.com.br&gt;; Edvaldo De Oliveira Guzeloto &lt;Edvaldo.Guzeloto@tecban.com.br&gt;; Erick Minutelli &lt;Erick.Minutelli@tecban.com.br&gt;; Camila Marques Vicente &lt;Camila.Marques-Vicente@tecban.com.br&gt;; Paulo Cesar De Oliveira Junior &lt;Paulo.Cesar@tecban.com.br&gt;; Airton Martins Bastos &lt;Airton.Bastos@tecban.com.br&gt;; Antonio Augusto Dainese &lt;Antonio.Dainese@tecban.com.br&gt;; Robson Soares Da Conceicao &lt;Robson.Soares@tecban.com.br&gt;; Rodrigo de Camargo Freitas &lt;Rodrigo.Freitas@terceirizado.tecban.com.br&gt;; _Grupo_Planej_Numerario_Micro &lt;_Grupo_Planej_Numerario_Micro@tecban.com.br&gt;</t>
  </si>
  <si>
    <t>Rodrigo Olian Goulart &lt;Rodrigo.Goulart@tbforte.com.br&gt;; Eduardo Rodrigues Da Silva &lt;Eduardo.Rodrigues-Silva@tbforte.com.br&gt;</t>
  </si>
  <si>
    <t>Livison Antonio de Souza Oliveira &lt;Livison.Oliveira@tbforte.com.br&gt;; Eduardo Rodrigues Da Silva &lt;Eduardo.Rodrigues-Silva@tbforte.com.br&gt;; Aurineide da Conceicao Bessa e Silva &lt;Aurineide.silva@tbforte.com.br&gt;; Eder Jean Elias &lt;Eder.Elias@tbforte.com.br&gt;; Guido Vandercio Firmiano &lt;Guido.Firmiano@tbforte.com.br&gt;</t>
  </si>
  <si>
    <t>Eduardo Silva De Oliveira &lt;Eduardo.Silva@tecban.com.br&gt;; Erick Minutelli &lt;Erick.Minutelli@tecban.com.br&gt;; 'Jorge Luiz Da Silva (Jorge.Silva@tecban.com.br)'; Antonio Roberto Silva &lt;Antonio.Silva@tecban.com.br&gt;; Robinson Aparecido Santos &lt;Robinson.santos@tecban.com.br&gt;; _Grupo_Planej_Numerario_Micro &lt;_Grupo_Planej_Numerario_Micro@tecban.com.br&gt;</t>
  </si>
  <si>
    <t>Eduardo Rodrigues Da Silva &lt;Eduardo.Rodrigues-Silva@tbforte.com.br&gt;; Guido Vandercio Firmiano (Guido.Firmiano@tbforte.com.br)</t>
  </si>
  <si>
    <t>Eduardo Silva De Oliveira &lt;Eduardo.Silva@tecban.com.br&gt;; Erick Minutelli &lt;Erick.Minutelli@tecban.com.br&gt;; 'Jorge Luiz Da Silva (Jorge.Silva@tecban.com.br)'; Raimundo Pedro Sanches Figueiredo &lt;Raimundo.Sanches@tecban.com.br&gt;; Sidnei ILies Francisco &lt;Sidnei.Ilies@tecban.com.br&gt;; _Grupo_Planej_Numerario_Micro &lt;_Grupo_Planej_Numerario_Micro@tecban.com.br&gt;</t>
  </si>
  <si>
    <t>Luis Carlos dos Santos &lt;Luis.Santos@tbforte.com.br&gt;; Walcir Otacilio da Silva &lt;Walcir.Silva@tbforte.com.br&gt;; Cristiano Lopes de Oliveira &lt;Cristiano.Oliveira@tbforte.com.br&gt;; Eder Jean Elias &lt;Eder.Elias@tbforte.com.br&gt;; Eduardo Rodrigues Da Silva &lt;Eduardo.Rodrigues-Silva@tbforte.com.br&gt;; Tarcisio Dias Da Rocha &lt;Tarcisio.Rocha@tecban.com.br&gt;; Daniela.Sousa@tbforte.com.br; Simone da Conceicao Ramos de Oliveira &lt;simone.oliveira@tbforte.com.br&gt;; Silvana Martins do Couto &lt;silvana.martins-couto@tbforte.com.br&gt;; Rayssa Uriel Lima de Moraes Bezerra &lt;Rayssa.Bezerra@tbforte.com.br&gt;</t>
  </si>
  <si>
    <t>'Jorge Luiz Da Silva (Jorge.Silva@tecban.com.br)'; Eduardo Silva De Oliveira &lt;Eduardo.Silva@tecban.com.br&gt;; Antonio Marcio dos Santos &lt;Antonio.Santos@tecban.com.br&gt;; Raimundo Pedro Sanches Figueiredo &lt;Raimundo.Sanches@tecban.com.br&gt;; _Grupo_Planej_Numerario_Micro &lt;_Grupo_Planej_Numerario_Micro@tecban.com.br&gt;</t>
  </si>
  <si>
    <t>Rodrigo Rabelo Correa &lt;Rodrigo.Correa@tbforte.com.br&gt;; Eduardo Rodrigues Da Silva &lt;Eduardo.Rodrigues-Silva@tbforte.com.br&gt;</t>
  </si>
  <si>
    <t>Eduardo Silva De Oliveira &lt;Eduardo.Silva@tecban.com.br&gt;; Erick Minutelli &lt;Erick.Minutelli@tecban.com.br&gt;; 'Jorge Luiz Da Silva (Jorge.Silva@tecban.com.br)'; Rodrigo Teixeira da Silva &lt;Rodrigo.Teixeira@tecban.com.br&gt;; Robinson Aparecido Santos &lt;Robinson.santos@tecban.com.br&gt;; Rodrigo de Camargo Freitas &lt;Rodrigo.Freitas@terceirizado.tecban.com.br&gt;; _Grupo_Planej_Numerario_Micro &lt;_Grupo_Planej_Numerario_Micro@tecban.com.br&gt;</t>
  </si>
  <si>
    <t>Rodrigo Silva Oliveira &lt;Rodrigo.Oliveira@tbforte.com.br&gt;; Eduardo Rodrigues Da Silva &lt;Eduardo.Rodrigues-Silva@tbforte.com.br&gt;</t>
  </si>
  <si>
    <t>Eduardo Silva De Oliveira &lt;Eduardo.Silva@tecban.com.br&gt;; Erick Minutelli &lt;Erick.Minutelli@tecban.com.br&gt;; 'Jorge Luiz Da Silva (Jorge.Silva@tecban.com.br)'; _Grupo_Planej_Numerario_Micro &lt;_Grupo_Planej_Numerario_Micro@tecban.com.br&gt;; Rodrigo Teixeira da Silva &lt;Rodrigo.Teixeira@tecban.com.br&gt;</t>
  </si>
  <si>
    <t>Juliano dos Santos Lopes &lt;Juliano.Lopes@tbforte.com.br&gt;; Isac Samuel de Abreu &lt;isac.abreu@tbforte.com.br&gt;; _Grupo_Tesouraria_PortoAlegre &lt;_Grupo_Tesouraria_PortoAlegre@tecban.com.br&gt;; _Grupo_Operacoes_tbforte_POA &lt;Operacoes.tbforte.POA@tbforte.com.br&gt;</t>
  </si>
  <si>
    <t>Eduardo Silva De Oliveira &lt;Eduardo.Silva@tecban.com.br&gt;; Erick Minutelli &lt;Erick.Minutelli@tecban.com.br&gt;; 'Emanoel Bechara (Bechara@tecban.com.br)'; Otavio Bock &lt;Otavio.Bock@tecban.com.br&gt;; _Grupo_Planej_Numerario_Micro &lt;_Grupo_Planej_Numerario_Micro@tecban.com.br&gt;</t>
  </si>
  <si>
    <t>Simone da Conceicao Ramos de Oliveira &lt;simone.oliveira@tbforte.com.br&gt;; Kelly Cristina Goncalves Rosa &lt;Kelly.Rosa@tbforte.com.br&gt;; Isac Samuel de Abreu &lt;isac.abreu@tbforte.com.br&gt;; _Grupo_Operacoes_tbforte_CGR &lt;Operacoes_tbforte_CGR@tbforte.com.br&gt;</t>
  </si>
  <si>
    <t>Eduardo Silva De Oliveira &lt;Eduardo.Silva@tecban.com.br&gt;; _Grupo_Planej_Numerario_Micro &lt;_Grupo_Planej_Numerario_Micro@tecban.com.br&gt;; Erick Minutelli &lt;Erick.Minutelli@tecban.com.br&gt;; Neri Matias Welter &lt;Neri.Welter@tecban.com.br&gt;</t>
  </si>
  <si>
    <t>Simone da Conceicao Ramos de Oliveira &lt;simone.oliveira@tbforte.com.br&gt;; Jose Valdir dos Santos &lt;Jose.Valdir-Santos@tbforte.com.br&gt;; Isac Samuel de Abreu &lt;isac.abreu@tbforte.com.br&gt;</t>
  </si>
  <si>
    <t>Eduardo Silva De Oliveira &lt;Eduardo.Silva@tecban.com.br&gt;; Erick Minutelli &lt;Erick.Minutelli@tecban.com.br&gt;; Alexandre Jose Oliveira de Araujo &lt;Alexandre.Araujo@tecban.com.br&gt;; 'Jose Carlos Mangini (Mangini@tecban.com.br)'; _Grupo_Planej_Numerario_Micro &lt;_Grupo_Planej_Numerario_Micro@tecban.com.br&gt;</t>
  </si>
  <si>
    <t>Eduardo Rodrigues Da Silva &lt;Eduardo.Rodrigues-Silva@tbforte.com.br&gt;; Luis Carlos dos Santos &lt;Luis.Santos@tbforte.com.br&gt;; Pedro Carlos Souza Ribeiro &lt;Pedro.Ribeiro@tbforte.com.br&gt;; Bruna Almeida Oliveira &lt;Bruna.Almeida-Oliveira@tbforte.com.br&gt;; Raimundo Pedro Sanches Figueiredo &lt;Raimundo.Sanches@tecban.com.br&gt;; Nilce Goncalves Ferreira Lima &lt;nilce.lima@tecban.com.br&gt;; _Grupo_Atendimento_TBForte &lt;_grupo_atendimento@tbforte.com.br&gt;; _Grupo_Atendimento_TBForte &lt;_grupo_atendimento@tbforte.com.br&gt;; Walcir Otacilio da Silva &lt;Walcir.Silva@tbforte.com.br&gt;</t>
  </si>
  <si>
    <t>Isac Samuel de Abreu &lt;isac.abreu@tbforte.com.br&gt;; Eder Jean Elias &lt;Eder.Elias@tbforte.com.br&gt;; Ricardo Silva e Silva &lt;Ricardo.Silva@tbforte.com.br&gt;; Thereza Cristina Santos Santana &lt;Thereza.Santana@tbforte.com.br&gt;</t>
  </si>
  <si>
    <t>Eduardo Silva De Oliveira &lt;Eduardo.Silva@tecban.com.br&gt;; Erick Minutelli &lt;Erick.Minutelli@tecban.com.br&gt;; 'Jorge Luiz Da Silva (Jorge.Silva@tecban.com.br)'; Arthur Lucena Silva &lt;Arthur.silva@tecban.com.br&gt;; Rodrigo de Camargo Freitas &lt;Rodrigo.Freitas@terceirizado.tecban.com.br&gt;; _Grupo_Planej_Numerario_Micro &lt;_Grupo_Planej_Numerario_Micro@tecban.com.br&gt;</t>
  </si>
  <si>
    <t>Guido Vandercio Firmiano &lt;Guido.Firmiano@tbforte.com.br&gt;; 'oseas.varela@tbforte.com.br'; Juliete Guimaraes Silva &lt;juliete.silva@tbforte.com.br&gt;; Jose Valdir dos Santos &lt;Jose.Valdir-Santos@tbforte.com.br&gt;; Odirley dos Santos Lima &lt;odirley.lima@tbforte.com.br&gt;; _Grupo_Atendimento_TBForte &lt;_grupo_atendimento@tbforte.com.br&gt;; Karina Pontieri &lt;Karina.Pontieri@tbforte.com.br&gt;; Uiliane Morais Neri &lt;Uiliane.Neri@tbforte.com.br&gt;</t>
  </si>
  <si>
    <t>Aurineide da Conceicao Bessa e Silva &lt;Aurineide.silva@tbforte.com.br&gt;; Marco.Terzi@tbforte.com.brSantos; Rodrigo.Marino@tbforte.com.broperações; Victor Garcia Dias &lt;Victor.Dias@tbforte.com.br&gt;; Aron Felipe Cunha dos Santos &lt;Aron.Cunha@tbforte.com.br&gt;; Sergio Roberto Franca Mello Junior &lt;Sergio.Franca@tbforte.com.br&gt;; Marcos Roberto Leme &lt;Marcos.Leme@tbforte.com.br&gt;</t>
  </si>
  <si>
    <t>Eduardo Silva De Oliveira &lt;Eduardo.Silva@tecban.com.br&gt;; Erick Minutelli &lt;Erick.Minutelli@tecban.com.br&gt;; 'Emanoel Bechara (Bechara@tecban.com.br)'; Sebastiao Carlos Alvarenga &lt;Sebastiao.Alvarenga@tecban.com.br&gt;; rodrigo.freitas@tecban.com.br; _Grupo_Planej_Numerario_Micro &lt;_Grupo_Planej_Numerario_Micro@tecban.com.br&gt;</t>
  </si>
  <si>
    <t>Aurineide da Conceicao Bessa e Silva &lt;Aurineide.silva@tbforte.com.br&gt;; Marco Antonio Dantas Terzi &lt;Marco.Terzi@tbforte.com.br&gt;; Sergio Luis Karan Gorino &lt;Sergio.Gorino@tbforte.com.br&gt;; Walcir Otacilio da Silva &lt;Walcir.Silva@tbforte.com.br&gt;; Eduardo Pinheiro Santos Souza &lt;Eduardo.Souza@tbforte.com.br&gt;; Claudia Tavares Ribeiro &lt;Claudia.Ribeiro@tbforte.com.br&gt;</t>
  </si>
  <si>
    <t>Eduardo Silva De Oliveira &lt;Eduardo.Silva@tecban.com.br&gt;; Erick Minutelli &lt;Erick.Minutelli@tecban.com.br&gt;; 'Emanoel Bechara (Bechara@tecban.com.br)'; Sebastiao Carlos Alvarenga &lt;Sebastiao.Alvarenga@tecban.com.br&gt;; Rodrigo de Camargo Freitas &lt;Rodrigo.Freitas@terceirizado.tecban.com.br&gt;; _Grupo_Planej_Numerario_Micro &lt;_Grupo_Planej_Numerario_Micro@tecban.com.br&gt;</t>
  </si>
  <si>
    <t>Sergio Jose Ferreira &lt;Sergio.Ferreira@tbforte.com.br&gt;; Eduardo Rodrigues Da Silva &lt;Eduardo.Rodrigues-Silva@tbforte.com.br&gt;; Aurineide da Conceicao Bessa e Silva &lt;Aurineide.silva@tbforte.com.br&gt;; Eder Jean Elias &lt;Eder.Elias@tbforte.com.br&gt;; Guido Vandercio Firmiano &lt;Guido.Firmiano@tbforte.com.br&gt;; Eduardo Rodrigues Da Silva &lt;Eduardo.Rodrigues-Silva@tbforte.com.br&gt;; Isac Samuel de Abreu &lt;isac.abreu@tbforte.com.br&gt;; Marco Antonio Dantas Terzi &lt;Marco.Terzi@tbforte.com.br&gt;; Sidnei Nere dos Santos &lt;Sidnei.Santos@tbforte.com.br&gt;</t>
  </si>
  <si>
    <t>Eduardo Silva De Oliveira &lt;Eduardo.Silva@tecban.com.br&gt;; Erick Minutelli (Erick.Minutelli@tecban.com.br); Jorge Luiz Da Silva (Jorge.Silva@tecban.com.br); Rodrigo Teixeira da Silva &lt;Rodrigo.Teixeira@tecban.com.br&gt;; _Grupo_Planej_Numerario_Micro &lt;_Grupo_Planej_Numerario_Micro@tecban.com.br&gt;</t>
  </si>
  <si>
    <t>_Grupo_Atendimento_TBForte &lt;_grupo_atendimento@tbforte.com.br&gt;; Aline de Souza Silva &lt;Aline.Souza-Silva@tbforte.com.br&gt;; Andressa dos Anjos Martins &lt;Andressa.Martins@tbforte.com.br&gt;; Eduardo Rodrigues Da Silva &lt;Eduardo.Rodrigues-Silva@tbforte.com.br&gt;; Fabio Ferreira da Cruz &lt;Fabio.Cruz@tbforte.com.br&gt;</t>
  </si>
  <si>
    <t>Eduardo Silva De Oliveira &lt;Eduardo.Silva@tecban.com.br&gt;; Erick Minutelli &lt;Erick.Minutelli@tecban.com.br&gt;; Jorge Luiz Da Silva (Jorge.Silva@tecban.com.br); Antonio Roberto Silva &lt;Antonio.Silva@tecban.com.br&gt;; _Grupo_Planej_Numerario_Micro &lt;_Grupo_Planej_Numerario_Micro@tecban.com.br&gt;</t>
  </si>
  <si>
    <t>_Grupo_Atendimento_TBForte &lt;_grupo_atendimento@tbforte.com.br&gt;; _Grupo_Tesouraria_TBForte_BAU &lt;_Grupo_Tesouraria_TBForte_BAU@tecban.com.br&gt;; Aurineide da Conceicao Bessa e Silva &lt;Aurineide.silva@tbforte.com.br&gt;; Daniela Aparecida de Oliveira &lt;Daniela.Aparecida-Oliveira@tecban.com.br&gt;; Teresinha Nunes de Oliveira &lt;Teresinha.Francisco@tbforte.com.br&gt;; Willians Jose da Silva &lt;Willians.Silva@tbforte.com.br&gt;</t>
  </si>
  <si>
    <t>_Grupo_Atendimento_TBForte &lt;_grupo_atendimento@tbforte.com.br&gt;; Alberto Antonio de Sousa &lt;Alberto.Sousa@tbforte.com.br&gt;; Jhonathan Batista Da Silva &lt;Jhonathan.Silva@tbforte.com.br&gt;; Ingrid Duarte Gil &lt;Ingrid.Gil@tbforte.com.br&gt;; Gislaine Da Rosa &lt;Gislaine.Rosa@tbforte.com.br&gt;; _Grupo_Operacoes_TBFORTE_SOR &lt;Operacoes_TBFORTE_SOR@tbforte.com.br&gt;</t>
  </si>
  <si>
    <t>Jair.Prado@tbforte.com.br; Edicleito.Paulo@tbforte.com.br; Sergio Luis Karan Gorino &lt;Sergio.Gorino@tbforte.com.br&gt;; Aurineide da Conceicao Bessa e Silva &lt;Aurineide.silva@tbforte.com.br&gt;; Karina Pontieri &lt;Karina.Pontieri@tbforte.com.br&gt;; Marco Antonio Dantas Terzi &lt;Marco.Terzi@tbforte.com.br&gt;</t>
  </si>
  <si>
    <t>Eduardo Silva De Oliveira &lt;Eduardo.Silva@tecban.com.br&gt;; Erick Minutelli &lt;Erick.Minutelli@tecban.com.br&gt;; Jose Longuinhos de Queiroz Filho &lt;Jose.Filho@tecban.com.br&gt;; _Grupo_Planej_Numerario_Micro &lt;_Grupo_Planej_Numerario_Micro@tecban.com.br&gt;; Rodrigo Martins Da Costa &lt;Rodrigo.Costa@tecban.com.br&gt;; Emanoel Bechara (Bechara@tecban.com.br)</t>
  </si>
  <si>
    <t>Aurineide da Conceicao Bessa e Silva &lt;Aurineide.silva@tbforte.com.br&gt;; Marco Antonio Dantas Terzi &lt;Marco.Terzi@tbforte.com.br&gt;; Rodolfo Jose Michelone &lt;Rodolfo.Michelone@tbforte.com.br&gt;; Julio Cesar Tonini &lt;Julio.Tonini@tbforte.com.br&gt;; _Grupo_Tesouraria_TBForte_CPQ@tbforte.com.br; Sergio Luis Karan Gorino &lt;Sergio.Gorino@tbforte.com.br&gt;</t>
  </si>
  <si>
    <t>Eduardo Silva De Oliveira &lt;Eduardo.Silva@tecban.com.br&gt;; Erick Minutelli &lt;Erick.Minutelli@tecban.com.br&gt;; 'Emanoel Bechara (Bechara@tecban.com.br)'; Rodrigo Martins Da Costa &lt;Rodrigo.Costa@tecban.com.br&gt;; _Grupo_Planej_Numerario_Micro &lt;_Grupo_Planej_Numerario_Micro@tecban.com.br&gt;</t>
  </si>
  <si>
    <r>
      <t xml:space="preserve">Segue abaixo relação dos equipamentos </t>
    </r>
    <r>
      <rPr>
        <b/>
        <u/>
        <sz val="11"/>
        <color rgb="FF000000"/>
        <rFont val="Arial Narrow"/>
        <family val="2"/>
      </rPr>
      <t>PENDENTES</t>
    </r>
    <r>
      <rPr>
        <sz val="11"/>
        <color rgb="FF000000"/>
        <rFont val="Arial Narrow"/>
        <family val="2"/>
      </rPr>
      <t xml:space="preserve"> e </t>
    </r>
    <r>
      <rPr>
        <b/>
        <u/>
        <sz val="11"/>
        <color rgb="FF000000"/>
        <rFont val="Arial Narrow"/>
        <family val="2"/>
      </rPr>
      <t>CANCELADOS</t>
    </r>
    <r>
      <rPr>
        <sz val="11"/>
        <color rgb="FF000000"/>
        <rFont val="Arial Narrow"/>
        <family val="2"/>
      </rPr>
      <t xml:space="preserve"> de abastecimentos</t>
    </r>
    <r>
      <rPr>
        <sz val="11"/>
        <color theme="1"/>
        <rFont val="Arial Narrow"/>
        <family val="2"/>
      </rPr>
      <t>:</t>
    </r>
  </si>
  <si>
    <t>hora está Correta?</t>
  </si>
  <si>
    <t>SIM</t>
  </si>
  <si>
    <t>PROGRAMADO PARA:</t>
  </si>
  <si>
    <t>CAPACIDADE OPERACIONAL:</t>
  </si>
  <si>
    <t>AUMENTO DA CAPACIDADE (NEGOCIADO)</t>
  </si>
  <si>
    <t>QTD. PROGRAMADO:</t>
  </si>
  <si>
    <t>NECESSIDADE:</t>
  </si>
  <si>
    <t>QTD. DE SOBRA NA PROGRAMAÇÃO ENCAMINHADA:</t>
  </si>
  <si>
    <t>HORÁRIO DE COBERTURA ATUALIZADO DA PROGRAMAÇÃO ENCAMINHADA</t>
  </si>
  <si>
    <t xml:space="preserve">CUSTÓDIA INICIAL </t>
  </si>
  <si>
    <t>REMESSAS</t>
  </si>
  <si>
    <t>MALOTE MÉDIO</t>
  </si>
  <si>
    <t>PROGRAMADO</t>
  </si>
  <si>
    <t>SALDO EM CUSTÓDIA</t>
  </si>
  <si>
    <t>TOTAL GERAL DA CUSTÓDIA</t>
  </si>
  <si>
    <t>TOTAL</t>
  </si>
  <si>
    <t>Cédulas 100</t>
  </si>
  <si>
    <t>Cédulas 50</t>
  </si>
  <si>
    <t>Cédulas 20</t>
  </si>
  <si>
    <t>Custódia</t>
  </si>
  <si>
    <t>Total em Custódia</t>
  </si>
  <si>
    <t>UTILIZANDO</t>
  </si>
  <si>
    <t>Enviado email para:</t>
  </si>
  <si>
    <t>PROGRAMAÇÃO</t>
  </si>
  <si>
    <t>REMESSA</t>
  </si>
  <si>
    <t>Qtd de Cédulas</t>
  </si>
  <si>
    <t>Valor</t>
  </si>
  <si>
    <t>Controle Custódia Inicial</t>
  </si>
  <si>
    <t>QTD DE CÉDULAS</t>
  </si>
  <si>
    <t xml:space="preserve">VALOR PROGRAMADO R$ </t>
  </si>
  <si>
    <t xml:space="preserve">Custódia Inicial R$ </t>
  </si>
  <si>
    <t>TOTAL R$</t>
  </si>
  <si>
    <t>Cadastro Programação</t>
  </si>
  <si>
    <t>Envio de email dos Improdutivos</t>
  </si>
  <si>
    <t>RISCO COBERTO ATÉ:</t>
  </si>
  <si>
    <t>TOTAL DE TROCAS PROGRAMADAS:</t>
  </si>
  <si>
    <t>%</t>
  </si>
  <si>
    <t>Porcentual</t>
  </si>
  <si>
    <t xml:space="preserve"> </t>
  </si>
  <si>
    <t>RISCO DE PARADA:</t>
  </si>
  <si>
    <t>CORPO EMAIL  IMPRODUTIVOS</t>
  </si>
  <si>
    <t>CORPO EMAIL  PROGRAMACAO QUANTIDADE DE CÉDULAS</t>
  </si>
  <si>
    <t>Conforme programações enviadas para:</t>
  </si>
  <si>
    <t>CORPO EMAIL  PROGRAMACAO QUANTIDADE DE ABASTECIMENTO</t>
  </si>
  <si>
    <t>Segue quantidade de abastecimentos programados para:</t>
  </si>
  <si>
    <t>EMAIL IMPRODUTIVOS</t>
  </si>
  <si>
    <t>EMIAL PROGRAMAÇÃO QUANTIDADE DE CÉDULAS</t>
  </si>
  <si>
    <t>EMIAL PROGRAMAÇÃO QUANTIDADE DE ABASTECIMENTO</t>
  </si>
  <si>
    <t>Enviado email de quantidades de cédulas para para:</t>
  </si>
  <si>
    <t>Enviado email de quantidades de abastecimento para para: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</si>
</sst>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7" formatCode="&quot;R$&quot;#,##0.00;\-&quot;R$&quot;#,##0.00"/>
    <numFmt numFmtId="44" formatCode="_-&quot;R$&quot;* #,##0.00_-;\-&quot;R$&quot;* #,##0.00_-;_-&quot;R$&quot;* &quot;-&quot;??_-;_-@_-"/>
    <numFmt numFmtId="164" formatCode="&quot;R$&quot;#,##0.00"/>
    <numFmt numFmtId="165" formatCode="[$-F400]h:mm:ss\ AM/PM"/>
    <numFmt numFmtId="166" formatCode="&quot;R$&quot;\ #,##0.00"/>
    <numFmt numFmtId="167" formatCode="&quot;R$ &quot;#,##0.00"/>
    <numFmt numFmtId="168" formatCode="&quot;R$ &quot;#,##0.00_);[Red]\(&quot;R$ &quot;#,##0.00\)"/>
    <numFmt numFmtId="169" formatCode="_(&quot;R$ &quot;* #,##0.00_);_(&quot;R$ &quot;* \(#,##0.00\);_(&quot;R$ &quot;* &quot;-&quot;??_);_(@_)"/>
  </numFmts>
  <fonts count="31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72"/>
      <color theme="1"/>
      <name val="Calibri"/>
      <family val="2"/>
      <scheme val="minor"/>
    </font>
    <font>
      <b/>
      <sz val="72"/>
      <color theme="0" tint="-0.499984740745262"/>
      <name val="Arial Black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theme="0"/>
      <name val="Calibri"/>
      <family val="2"/>
    </font>
    <font>
      <sz val="12"/>
      <color rgb="FF444444"/>
      <name val="Arial"/>
      <family val="2"/>
    </font>
    <font>
      <sz val="10"/>
      <color theme="1"/>
      <name val="Times New Roman"/>
      <family val="1"/>
    </font>
    <font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theme="1"/>
      <name val="Arial Narrow"/>
      <family val="2"/>
    </font>
    <font>
      <u/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10"/>
      <color rgb="FFFFFFFF"/>
      <name val="Calibri"/>
      <family val="2"/>
    </font>
    <font>
      <sz val="10"/>
      <name val="Calibri"/>
      <family val="2"/>
    </font>
    <font>
      <b/>
      <sz val="10"/>
      <name val="Calibri"/>
      <family val="2"/>
    </font>
    <font>
      <b/>
      <sz val="10"/>
      <color theme="1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31"/>
      <color rgb="FFFF0000"/>
      <name val="Calibri"/>
      <family val="2"/>
      <scheme val="minor"/>
    </font>
    <font>
      <b/>
      <sz val="22"/>
      <color theme="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ck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/>
      <top style="thin">
        <color indexed="64"/>
      </top>
      <bottom style="thin">
        <color theme="1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 style="thick">
        <color rgb="FFFF0000"/>
      </left>
      <right/>
      <top/>
      <bottom/>
      <diagonal/>
    </border>
    <border>
      <left style="thick">
        <color rgb="FFFF0000"/>
      </left>
      <right/>
      <top style="thick">
        <color rgb="FFFF0000"/>
      </top>
      <bottom/>
      <diagonal/>
    </border>
  </borders>
  <cellStyleXfs count="5">
    <xf numFmtId="0" fontId="0" fillId="0" borderId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11" fillId="0" borderId="0" applyNumberFormat="0" applyFill="0" applyBorder="0" applyAlignment="0" applyProtection="0"/>
    <xf numFmtId="169" fontId="5" fillId="0" borderId="0" applyFont="0" applyFill="0" applyBorder="0" applyAlignment="0" applyProtection="0"/>
  </cellStyleXfs>
  <cellXfs count="121">
    <xf numFmtId="0" fontId="0" fillId="0" borderId="0" xfId="0"/>
    <xf numFmtId="0" fontId="1" fillId="2" borderId="0" xfId="0" applyFont="1" applyFill="1"/>
    <xf numFmtId="0" fontId="0" fillId="2" borderId="0" xfId="0" applyFill="1"/>
    <xf numFmtId="0" fontId="2" fillId="2" borderId="0" xfId="0" applyFont="1" applyFill="1" applyAlignment="1">
      <alignment vertical="center"/>
    </xf>
    <xf numFmtId="0" fontId="4" fillId="4" borderId="1" xfId="0" applyFont="1" applyFill="1" applyBorder="1" applyAlignment="1">
      <alignment horizontal="center" vertical="center" wrapText="1"/>
    </xf>
    <xf numFmtId="164" fontId="0" fillId="0" borderId="0" xfId="0" applyNumberFormat="1"/>
    <xf numFmtId="0" fontId="4" fillId="3" borderId="1" xfId="0" applyFont="1" applyFill="1" applyBorder="1" applyAlignment="1">
      <alignment horizontal="center" vertical="center"/>
    </xf>
    <xf numFmtId="0" fontId="0" fillId="0" borderId="1" xfId="0" applyFont="1" applyFill="1" applyBorder="1"/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4" fontId="0" fillId="2" borderId="0" xfId="0" applyNumberFormat="1" applyFill="1"/>
    <xf numFmtId="0" fontId="0" fillId="6" borderId="1" xfId="0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7" fontId="4" fillId="6" borderId="1" xfId="1" applyNumberFormat="1" applyFont="1" applyFill="1" applyBorder="1" applyAlignment="1">
      <alignment horizontal="center" vertical="center"/>
    </xf>
    <xf numFmtId="22" fontId="0" fillId="6" borderId="1" xfId="0" applyNumberFormat="1" applyFill="1" applyBorder="1" applyAlignment="1">
      <alignment horizontal="center" vertical="center"/>
    </xf>
    <xf numFmtId="9" fontId="4" fillId="6" borderId="1" xfId="2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9" fontId="7" fillId="5" borderId="1" xfId="2" applyFont="1" applyFill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9" fillId="6" borderId="1" xfId="0" applyFont="1" applyFill="1" applyBorder="1" applyAlignment="1">
      <alignment horizontal="left"/>
    </xf>
    <xf numFmtId="0" fontId="12" fillId="0" borderId="0" xfId="0" applyFont="1" applyAlignment="1">
      <alignment horizontal="center" vertical="center"/>
    </xf>
    <xf numFmtId="0" fontId="0" fillId="6" borderId="0" xfId="0" applyFont="1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10" fillId="8" borderId="1" xfId="0" applyFont="1" applyFill="1" applyBorder="1" applyAlignment="1">
      <alignment horizontal="center"/>
    </xf>
    <xf numFmtId="0" fontId="13" fillId="6" borderId="0" xfId="0" applyFont="1" applyFill="1" applyBorder="1" applyAlignment="1">
      <alignment horizontal="left"/>
    </xf>
    <xf numFmtId="0" fontId="4" fillId="0" borderId="1" xfId="0" applyFont="1" applyBorder="1"/>
    <xf numFmtId="0" fontId="0" fillId="0" borderId="0" xfId="0" applyFont="1" applyAlignment="1"/>
    <xf numFmtId="0" fontId="0" fillId="6" borderId="0" xfId="0" applyFont="1" applyFill="1" applyBorder="1" applyAlignment="1">
      <alignment horizontal="center" vertical="center"/>
    </xf>
    <xf numFmtId="0" fontId="0" fillId="6" borderId="1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11" fillId="0" borderId="0" xfId="3" applyAlignment="1"/>
    <xf numFmtId="0" fontId="0" fillId="0" borderId="1" xfId="0" applyFont="1" applyBorder="1" applyAlignment="1"/>
    <xf numFmtId="0" fontId="10" fillId="8" borderId="1" xfId="0" applyFont="1" applyFill="1" applyBorder="1" applyAlignment="1">
      <alignment horizontal="center" vertical="center"/>
    </xf>
    <xf numFmtId="14" fontId="10" fillId="7" borderId="0" xfId="0" applyNumberFormat="1" applyFont="1" applyFill="1" applyBorder="1" applyAlignment="1">
      <alignment horizontal="left" vertical="center"/>
    </xf>
    <xf numFmtId="0" fontId="10" fillId="7" borderId="0" xfId="0" applyFont="1" applyFill="1" applyBorder="1" applyAlignment="1">
      <alignment horizontal="right" vertical="center"/>
    </xf>
    <xf numFmtId="10" fontId="4" fillId="9" borderId="1" xfId="2" applyNumberFormat="1" applyFont="1" applyFill="1" applyBorder="1" applyAlignment="1">
      <alignment horizontal="center" vertical="center"/>
    </xf>
    <xf numFmtId="0" fontId="14" fillId="8" borderId="1" xfId="0" applyFont="1" applyFill="1" applyBorder="1" applyAlignment="1">
      <alignment horizontal="center" vertical="center"/>
    </xf>
    <xf numFmtId="0" fontId="14" fillId="8" borderId="1" xfId="0" applyFont="1" applyFill="1" applyBorder="1" applyAlignment="1">
      <alignment horizontal="left" vertical="center"/>
    </xf>
    <xf numFmtId="0" fontId="0" fillId="0" borderId="1" xfId="0" applyBorder="1"/>
    <xf numFmtId="0" fontId="11" fillId="0" borderId="1" xfId="3" applyBorder="1"/>
    <xf numFmtId="0" fontId="0" fillId="0" borderId="1" xfId="0" applyBorder="1" applyAlignment="1">
      <alignment horizontal="left" vertical="center"/>
    </xf>
    <xf numFmtId="0" fontId="15" fillId="0" borderId="0" xfId="0" applyFont="1"/>
    <xf numFmtId="0" fontId="16" fillId="0" borderId="0" xfId="0" applyFont="1" applyAlignment="1">
      <alignment vertical="center"/>
    </xf>
    <xf numFmtId="165" fontId="0" fillId="0" borderId="0" xfId="0" applyNumberFormat="1"/>
    <xf numFmtId="0" fontId="0" fillId="0" borderId="3" xfId="0" applyBorder="1"/>
    <xf numFmtId="0" fontId="17" fillId="0" borderId="0" xfId="0" applyFont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11" borderId="1" xfId="0" applyFont="1" applyFill="1" applyBorder="1" applyAlignment="1">
      <alignment horizontal="center" vertical="center"/>
    </xf>
    <xf numFmtId="0" fontId="10" fillId="8" borderId="1" xfId="0" applyFont="1" applyFill="1" applyBorder="1" applyAlignment="1">
      <alignment horizontal="center" vertical="center"/>
    </xf>
    <xf numFmtId="0" fontId="23" fillId="12" borderId="0" xfId="0" applyFont="1" applyFill="1" applyAlignment="1">
      <alignment vertical="center"/>
    </xf>
    <xf numFmtId="0" fontId="23" fillId="12" borderId="0" xfId="0" applyFont="1" applyFill="1" applyAlignment="1">
      <alignment horizontal="center" vertical="center"/>
    </xf>
    <xf numFmtId="0" fontId="23" fillId="13" borderId="0" xfId="0" applyFont="1" applyFill="1" applyAlignment="1">
      <alignment vertical="center"/>
    </xf>
    <xf numFmtId="0" fontId="23" fillId="13" borderId="0" xfId="0" applyFont="1" applyFill="1" applyAlignment="1">
      <alignment horizontal="center" vertical="center"/>
    </xf>
    <xf numFmtId="0" fontId="24" fillId="12" borderId="0" xfId="0" applyFont="1" applyFill="1" applyAlignment="1">
      <alignment horizontal="center" vertical="center"/>
    </xf>
    <xf numFmtId="0" fontId="21" fillId="12" borderId="0" xfId="0" applyFont="1" applyFill="1" applyAlignment="1">
      <alignment vertical="center"/>
    </xf>
    <xf numFmtId="0" fontId="0" fillId="0" borderId="0" xfId="0" applyBorder="1"/>
    <xf numFmtId="0" fontId="0" fillId="14" borderId="0" xfId="0" applyFont="1" applyFill="1" applyBorder="1"/>
    <xf numFmtId="166" fontId="0" fillId="14" borderId="0" xfId="0" applyNumberFormat="1" applyFont="1" applyFill="1" applyBorder="1" applyAlignment="1">
      <alignment horizontal="left" vertical="center"/>
    </xf>
    <xf numFmtId="0" fontId="4" fillId="6" borderId="0" xfId="0" applyFont="1" applyFill="1" applyBorder="1"/>
    <xf numFmtId="166" fontId="4" fillId="6" borderId="0" xfId="0" applyNumberFormat="1" applyFont="1" applyFill="1" applyBorder="1" applyAlignment="1">
      <alignment horizontal="center"/>
    </xf>
    <xf numFmtId="0" fontId="10" fillId="8" borderId="0" xfId="0" applyFont="1" applyFill="1" applyBorder="1"/>
    <xf numFmtId="166" fontId="10" fillId="8" borderId="0" xfId="0" applyNumberFormat="1" applyFont="1" applyFill="1" applyBorder="1" applyAlignment="1">
      <alignment horizontal="center"/>
    </xf>
    <xf numFmtId="0" fontId="25" fillId="0" borderId="0" xfId="0" applyFont="1" applyBorder="1"/>
    <xf numFmtId="0" fontId="25" fillId="15" borderId="6" xfId="0" applyFont="1" applyFill="1" applyBorder="1" applyAlignment="1" applyProtection="1">
      <alignment horizontal="center"/>
      <protection hidden="1"/>
    </xf>
    <xf numFmtId="167" fontId="25" fillId="0" borderId="1" xfId="0" applyNumberFormat="1" applyFont="1" applyFill="1" applyBorder="1" applyAlignment="1">
      <alignment horizontal="center"/>
    </xf>
    <xf numFmtId="0" fontId="25" fillId="0" borderId="1" xfId="0" applyFont="1" applyBorder="1" applyAlignment="1">
      <alignment horizontal="center"/>
    </xf>
    <xf numFmtId="0" fontId="25" fillId="0" borderId="1" xfId="0" applyFont="1" applyBorder="1" applyAlignment="1">
      <alignment horizontal="left"/>
    </xf>
    <xf numFmtId="3" fontId="25" fillId="0" borderId="1" xfId="0" applyNumberFormat="1" applyFont="1" applyFill="1" applyBorder="1" applyAlignment="1">
      <alignment horizontal="center"/>
    </xf>
    <xf numFmtId="3" fontId="25" fillId="0" borderId="1" xfId="0" applyNumberFormat="1" applyFont="1" applyBorder="1" applyAlignment="1">
      <alignment horizontal="center"/>
    </xf>
    <xf numFmtId="4" fontId="25" fillId="0" borderId="1" xfId="0" applyNumberFormat="1" applyFont="1" applyBorder="1"/>
    <xf numFmtId="167" fontId="25" fillId="0" borderId="1" xfId="0" applyNumberFormat="1" applyFont="1" applyBorder="1" applyAlignment="1">
      <alignment horizontal="center"/>
    </xf>
    <xf numFmtId="0" fontId="0" fillId="0" borderId="0" xfId="0" applyFont="1" applyBorder="1" applyAlignment="1"/>
    <xf numFmtId="0" fontId="26" fillId="0" borderId="0" xfId="0" applyFont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25" fillId="15" borderId="11" xfId="0" applyFont="1" applyFill="1" applyBorder="1" applyAlignment="1" applyProtection="1">
      <alignment horizontal="center"/>
      <protection hidden="1"/>
    </xf>
    <xf numFmtId="167" fontId="25" fillId="15" borderId="6" xfId="0" applyNumberFormat="1" applyFont="1" applyFill="1" applyBorder="1" applyAlignment="1" applyProtection="1">
      <alignment horizontal="center"/>
      <protection hidden="1"/>
    </xf>
    <xf numFmtId="167" fontId="25" fillId="15" borderId="12" xfId="0" applyNumberFormat="1" applyFont="1" applyFill="1" applyBorder="1" applyAlignment="1" applyProtection="1">
      <alignment horizontal="center"/>
      <protection hidden="1"/>
    </xf>
    <xf numFmtId="0" fontId="25" fillId="15" borderId="1" xfId="0" applyFont="1" applyFill="1" applyBorder="1" applyAlignment="1" applyProtection="1">
      <alignment horizontal="center"/>
      <protection hidden="1"/>
    </xf>
    <xf numFmtId="168" fontId="25" fillId="15" borderId="1" xfId="0" applyNumberFormat="1" applyFont="1" applyFill="1" applyBorder="1" applyAlignment="1" applyProtection="1">
      <alignment horizontal="center" wrapText="1"/>
      <protection hidden="1"/>
    </xf>
    <xf numFmtId="3" fontId="25" fillId="3" borderId="1" xfId="0" applyNumberFormat="1" applyFont="1" applyFill="1" applyBorder="1" applyAlignment="1">
      <alignment horizontal="center"/>
    </xf>
    <xf numFmtId="0" fontId="25" fillId="3" borderId="1" xfId="0" applyNumberFormat="1" applyFont="1" applyFill="1" applyBorder="1" applyAlignment="1" applyProtection="1">
      <alignment horizontal="center"/>
      <protection locked="0" hidden="1"/>
    </xf>
    <xf numFmtId="167" fontId="28" fillId="14" borderId="1" xfId="0" applyNumberFormat="1" applyFont="1" applyFill="1" applyBorder="1" applyAlignment="1" applyProtection="1">
      <alignment horizontal="center"/>
      <protection hidden="1"/>
    </xf>
    <xf numFmtId="0" fontId="10" fillId="8" borderId="7" xfId="0" applyFont="1" applyFill="1" applyBorder="1" applyAlignment="1">
      <alignment horizontal="center"/>
    </xf>
    <xf numFmtId="10" fontId="4" fillId="9" borderId="7" xfId="2" applyNumberFormat="1" applyFont="1" applyFill="1" applyBorder="1" applyAlignment="1">
      <alignment horizontal="center" vertical="center"/>
    </xf>
    <xf numFmtId="0" fontId="4" fillId="6" borderId="1" xfId="0" applyNumberFormat="1" applyFont="1" applyFill="1" applyBorder="1" applyAlignment="1">
      <alignment horizontal="center" vertical="center"/>
    </xf>
    <xf numFmtId="0" fontId="0" fillId="6" borderId="0" xfId="0" applyFont="1" applyFill="1" applyAlignment="1"/>
    <xf numFmtId="14" fontId="4" fillId="6" borderId="1" xfId="0" applyNumberFormat="1" applyFont="1" applyFill="1" applyBorder="1" applyAlignment="1">
      <alignment horizontal="center" vertical="center"/>
    </xf>
    <xf numFmtId="0" fontId="0" fillId="0" borderId="0" xfId="0" applyFont="1" applyAlignment="1">
      <alignment vertical="center"/>
    </xf>
    <xf numFmtId="14" fontId="23" fillId="12" borderId="0" xfId="0" applyNumberFormat="1" applyFont="1" applyFill="1" applyAlignment="1">
      <alignment horizontal="center" vertical="center"/>
    </xf>
    <xf numFmtId="0" fontId="0" fillId="0" borderId="8" xfId="0" applyBorder="1"/>
    <xf numFmtId="0" fontId="0" fillId="0" borderId="4" xfId="0" applyBorder="1" applyAlignment="1"/>
    <xf numFmtId="0" fontId="25" fillId="6" borderId="1" xfId="0" applyFont="1" applyFill="1" applyBorder="1" applyAlignment="1">
      <alignment horizontal="center"/>
    </xf>
    <xf numFmtId="3" fontId="25" fillId="6" borderId="1" xfId="0" applyNumberFormat="1" applyFont="1" applyFill="1" applyBorder="1" applyAlignment="1">
      <alignment horizontal="center"/>
    </xf>
    <xf numFmtId="167" fontId="25" fillId="6" borderId="1" xfId="0" applyNumberFormat="1" applyFont="1" applyFill="1" applyBorder="1" applyAlignment="1">
      <alignment horizontal="center"/>
    </xf>
    <xf numFmtId="3" fontId="25" fillId="3" borderId="7" xfId="0" applyNumberFormat="1" applyFont="1" applyFill="1" applyBorder="1" applyAlignment="1">
      <alignment horizontal="center"/>
    </xf>
    <xf numFmtId="167" fontId="25" fillId="6" borderId="7" xfId="0" applyNumberFormat="1" applyFont="1" applyFill="1" applyBorder="1" applyAlignment="1">
      <alignment horizontal="center"/>
    </xf>
    <xf numFmtId="0" fontId="4" fillId="0" borderId="0" xfId="0" applyFont="1"/>
    <xf numFmtId="0" fontId="25" fillId="0" borderId="0" xfId="0" applyFont="1" applyBorder="1" applyAlignment="1">
      <alignment horizontal="center"/>
    </xf>
    <xf numFmtId="22" fontId="4" fillId="6" borderId="1" xfId="0" applyNumberFormat="1" applyFont="1" applyFill="1" applyBorder="1" applyAlignment="1">
      <alignment horizontal="center" vertical="center"/>
    </xf>
    <xf numFmtId="9" fontId="0" fillId="0" borderId="1" xfId="2" applyFont="1" applyBorder="1"/>
    <xf numFmtId="14" fontId="17" fillId="0" borderId="0" xfId="0" applyNumberFormat="1" applyFont="1" applyAlignment="1">
      <alignment horizontal="left" vertical="center"/>
    </xf>
    <xf numFmtId="0" fontId="19" fillId="0" borderId="0" xfId="0" applyFont="1" applyAlignment="1">
      <alignment vertical="center"/>
    </xf>
    <xf numFmtId="14" fontId="23" fillId="13" borderId="0" xfId="0" applyNumberFormat="1" applyFont="1" applyFill="1" applyAlignment="1">
      <alignment horizontal="center" vertical="center"/>
    </xf>
    <xf numFmtId="0" fontId="3" fillId="2" borderId="0" xfId="0" applyFont="1" applyFill="1" applyAlignment="1">
      <alignment horizontal="left"/>
    </xf>
    <xf numFmtId="0" fontId="4" fillId="0" borderId="2" xfId="0" applyFont="1" applyBorder="1" applyAlignment="1">
      <alignment horizontal="center"/>
    </xf>
    <xf numFmtId="0" fontId="29" fillId="0" borderId="14" xfId="0" applyFont="1" applyBorder="1" applyAlignment="1">
      <alignment horizontal="center" vertical="center" textRotation="90"/>
    </xf>
    <xf numFmtId="0" fontId="29" fillId="0" borderId="13" xfId="0" applyFont="1" applyBorder="1" applyAlignment="1">
      <alignment horizontal="center" vertical="center" textRotation="90"/>
    </xf>
    <xf numFmtId="0" fontId="29" fillId="0" borderId="15" xfId="0" applyFont="1" applyBorder="1" applyAlignment="1">
      <alignment horizontal="center" vertical="center" textRotation="90"/>
    </xf>
    <xf numFmtId="0" fontId="10" fillId="7" borderId="0" xfId="0" applyFont="1" applyFill="1" applyBorder="1" applyAlignment="1">
      <alignment horizontal="center"/>
    </xf>
    <xf numFmtId="0" fontId="22" fillId="7" borderId="0" xfId="0" applyFont="1" applyFill="1" applyAlignment="1">
      <alignment horizontal="center" vertical="center"/>
    </xf>
    <xf numFmtId="0" fontId="10" fillId="8" borderId="4" xfId="0" applyFont="1" applyFill="1" applyBorder="1" applyAlignment="1">
      <alignment horizontal="center" vertical="center"/>
    </xf>
    <xf numFmtId="0" fontId="10" fillId="8" borderId="5" xfId="0" applyFont="1" applyFill="1" applyBorder="1" applyAlignment="1">
      <alignment horizontal="center" vertical="center"/>
    </xf>
    <xf numFmtId="0" fontId="10" fillId="7" borderId="1" xfId="0" applyFont="1" applyFill="1" applyBorder="1" applyAlignment="1">
      <alignment horizontal="center"/>
    </xf>
    <xf numFmtId="0" fontId="10" fillId="7" borderId="4" xfId="0" applyFont="1" applyFill="1" applyBorder="1" applyAlignment="1">
      <alignment horizontal="center"/>
    </xf>
    <xf numFmtId="0" fontId="25" fillId="0" borderId="9" xfId="0" applyFont="1" applyBorder="1" applyAlignment="1">
      <alignment horizontal="center"/>
    </xf>
    <xf numFmtId="0" fontId="25" fillId="0" borderId="10" xfId="0" applyFont="1" applyBorder="1" applyAlignment="1">
      <alignment horizontal="center"/>
    </xf>
    <xf numFmtId="0" fontId="27" fillId="0" borderId="0" xfId="0" applyFont="1" applyAlignment="1">
      <alignment horizontal="center"/>
    </xf>
    <xf numFmtId="0" fontId="10" fillId="7" borderId="1" xfId="0" applyFont="1" applyFill="1" applyBorder="1" applyAlignment="1">
      <alignment horizontal="center" wrapText="1"/>
    </xf>
    <xf numFmtId="0" fontId="10" fillId="7" borderId="4" xfId="0" applyFont="1" applyFill="1" applyBorder="1" applyAlignment="1">
      <alignment horizontal="center" wrapText="1"/>
    </xf>
    <xf numFmtId="0" fontId="10" fillId="10" borderId="0" xfId="0" applyFont="1" applyFill="1" applyAlignment="1">
      <alignment horizontal="center"/>
    </xf>
    <xf numFmtId="0" fontId="30" fillId="10" borderId="2" xfId="0" applyFont="1" applyFill="1" applyBorder="1" applyAlignment="1">
      <alignment horizontal="center"/>
    </xf>
  </cellXfs>
  <cellStyles count="5">
    <cellStyle name="Hiperlink" xfId="3" builtinId="8"/>
    <cellStyle name="Moeda" xfId="1" builtinId="4"/>
    <cellStyle name="Moeda 2" xfId="4"/>
    <cellStyle name="Normal" xfId="0" builtinId="0"/>
    <cellStyle name="Porcentagem" xfId="2" builtinId="5"/>
  </cellStyles>
  <dxfs count="1">
    <dxf>
      <font>
        <color rgb="FFFF0000"/>
      </font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MOTIVO NÃO ABASTECIDO</a:t>
            </a:r>
          </a:p>
        </c:rich>
      </c:tx>
      <c:layout>
        <c:manualLayout>
          <c:xMode val="edge"/>
          <c:yMode val="edge"/>
          <c:x val="0.38306016578300295"/>
          <c:y val="2.777777777777777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971038781623331"/>
          <c:y val="0.12488432323443013"/>
          <c:w val="0.3296758049466601"/>
          <c:h val="0.82418963254593181"/>
        </c:manualLayout>
      </c:layout>
      <c:pieChart>
        <c:varyColors val="1"/>
        <c:ser>
          <c:idx val="0"/>
          <c:order val="0"/>
          <c:explosion val="25"/>
          <c:dPt>
            <c:idx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1121-4E82-97BF-51B842AEF238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3-1121-4E82-97BF-51B842AEF238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05-1121-4E82-97BF-51B842AEF238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7-1121-4E82-97BF-51B842AEF23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'EQUIPAMENTOS NÃO ABASTECIDOS'!#REF!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'EQUIPAMENTOS NÃO ABASTECIDOS'!#REF!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8-1121-4E82-97BF-51B842AEF238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>
        <c:manualLayout>
          <c:xMode val="edge"/>
          <c:yMode val="edge"/>
          <c:x val="0.55911671637259908"/>
          <c:y val="0.2699296442111403"/>
          <c:w val="0.42977217413645757"/>
          <c:h val="0.42298775153105861"/>
        </c:manualLayout>
      </c:layout>
      <c:overlay val="0"/>
    </c:legend>
    <c:plotVisOnly val="1"/>
    <c:dispBlanksAs val="gap"/>
    <c:showDLblsOverMax val="0"/>
  </c:chart>
  <c:spPr>
    <a:solidFill>
      <a:schemeClr val="bg1">
        <a:lumMod val="95000"/>
      </a:schemeClr>
    </a:solidFill>
    <a:ln>
      <a:noFill/>
    </a:ln>
  </c:spPr>
  <c:txPr>
    <a:bodyPr/>
    <a:lstStyle/>
    <a:p>
      <a:pPr>
        <a:defRPr sz="1200">
          <a:latin typeface="Arial Narrow" panose="020B060602020203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pt-BR" sz="1600"/>
              <a:t>ABASTECIMENTOS NÃO REALIZADOS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2729404761904761"/>
          <c:y val="0.23234652777777778"/>
          <c:w val="0.38240674603174607"/>
          <c:h val="0.66921180555555559"/>
        </c:manualLayout>
      </c:layout>
      <c:doughnutChart>
        <c:varyColors val="1"/>
        <c:ser>
          <c:idx val="0"/>
          <c:order val="0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AC8-4E75-A0FD-9DC318ABC20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</c:spPr>
            <c:extLst>
              <c:ext xmlns:c16="http://schemas.microsoft.com/office/drawing/2014/chart" uri="{C3380CC4-5D6E-409C-BE32-E72D297353CC}">
                <c16:uniqueId val="{00000001-9AC8-4E75-A0FD-9DC318ABC20E}"/>
              </c:ext>
            </c:extLst>
          </c:dPt>
          <c:dLbls>
            <c:dLbl>
              <c:idx val="0"/>
              <c:layout>
                <c:manualLayout>
                  <c:x val="1.5645833333333334E-3"/>
                  <c:y val="-3.8929513888888892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AC8-4E75-A0FD-9DC318ABC20E}"/>
                </c:ext>
              </c:extLst>
            </c:dLbl>
            <c:dLbl>
              <c:idx val="1"/>
              <c:layout>
                <c:manualLayout>
                  <c:x val="-1.4752546296296297E-2"/>
                  <c:y val="-2.3875000000000042E-2"/>
                </c:manualLayout>
              </c:layout>
              <c:spPr/>
              <c:txPr>
                <a:bodyPr/>
                <a:lstStyle/>
                <a:p>
                  <a:pPr>
                    <a:defRPr b="1">
                      <a:solidFill>
                        <a:sysClr val="windowText" lastClr="000000"/>
                      </a:solidFill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AC8-4E75-A0FD-9DC318ABC20E}"/>
                </c:ext>
              </c:extLst>
            </c:dLbl>
            <c:dLbl>
              <c:idx val="3"/>
              <c:layout>
                <c:manualLayout>
                  <c:x val="-1.1415525114155251E-2"/>
                  <c:y val="-0.15085158150851583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AC8-4E75-A0FD-9DC318ABC2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(APOIO!$D$6,APOIO!$D$10)</c:f>
              <c:strCache>
                <c:ptCount val="2"/>
                <c:pt idx="0">
                  <c:v>MALOTES ABASTECIDOS</c:v>
                </c:pt>
                <c:pt idx="1">
                  <c:v>MALOTES NÃO ABASTECIDOS</c:v>
                </c:pt>
              </c:strCache>
            </c:strRef>
          </c:cat>
          <c:val>
            <c:numRef>
              <c:f>(APOIO!$E$6,APOIO!$E$10)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AC8-4E75-A0FD-9DC318ABC20E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</c:plotArea>
    <c:legend>
      <c:legendPos val="r"/>
      <c:layout>
        <c:manualLayout>
          <c:xMode val="edge"/>
          <c:yMode val="edge"/>
          <c:x val="0.60619047619047617"/>
          <c:y val="0.42025937499999999"/>
          <c:w val="0.33907800925925924"/>
          <c:h val="0.26604583333333331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PROBLEMAS TÉCNICOS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8.204694759369878E-2"/>
          <c:y val="0.26716909722222221"/>
          <c:w val="0.45733457948988854"/>
          <c:h val="0.58617430555555561"/>
        </c:manualLayout>
      </c:layout>
      <c:pieChart>
        <c:varyColors val="1"/>
        <c:ser>
          <c:idx val="0"/>
          <c:order val="0"/>
          <c:explosion val="12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CA1-4BC4-A1F3-A5D18233B4A1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</c:spPr>
            <c:extLst>
              <c:ext xmlns:c16="http://schemas.microsoft.com/office/drawing/2014/chart" uri="{C3380CC4-5D6E-409C-BE32-E72D297353CC}">
                <c16:uniqueId val="{00000001-BCA1-4BC4-A1F3-A5D18233B4A1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C-BCA1-4BC4-A1F3-A5D18233B4A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APOIO!$G$3:$G$5</c:f>
              <c:strCache>
                <c:ptCount val="3"/>
                <c:pt idx="0">
                  <c:v>PROBLEMAS TECBAN</c:v>
                </c:pt>
                <c:pt idx="1">
                  <c:v>PROBLEMAS TBFORTE</c:v>
                </c:pt>
                <c:pt idx="2">
                  <c:v>FATORES EXTERNOS</c:v>
                </c:pt>
              </c:strCache>
            </c:strRef>
          </c:cat>
          <c:val>
            <c:numRef>
              <c:f>APOIO!$H$3:$H$5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2-BCA1-4BC4-A1F3-A5D18233B4A1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0"/>
      </c:pieChart>
    </c:plotArea>
    <c:legend>
      <c:legendPos val="r"/>
      <c:layout>
        <c:manualLayout>
          <c:xMode val="edge"/>
          <c:yMode val="edge"/>
          <c:x val="0.56860541507666928"/>
          <c:y val="0.42014930555555557"/>
          <c:w val="0.34048627196012299"/>
          <c:h val="0.39906875000000003"/>
        </c:manualLayout>
      </c:layout>
      <c:overlay val="0"/>
      <c:txPr>
        <a:bodyPr/>
        <a:lstStyle/>
        <a:p>
          <a:pPr rtl="0">
            <a:defRPr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sz="1600"/>
            </a:pPr>
            <a:r>
              <a:rPr lang="pt-BR" sz="1600"/>
              <a:t>IMPRODUTIVOS TBFORTE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2729404761904761"/>
          <c:y val="0.23234652777777778"/>
          <c:w val="0.38240674603174607"/>
          <c:h val="0.66921180555555559"/>
        </c:manualLayout>
      </c:layout>
      <c:doughnutChart>
        <c:varyColors val="1"/>
        <c:ser>
          <c:idx val="0"/>
          <c:order val="0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DDA-4731-B898-73FC1D46B99A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9DDA-4731-B898-73FC1D46B99A}"/>
              </c:ext>
            </c:extLst>
          </c:dPt>
          <c:dLbls>
            <c:dLbl>
              <c:idx val="0"/>
              <c:layout>
                <c:manualLayout>
                  <c:x val="-1.3749999999999999E-3"/>
                  <c:y val="-2.12906250000000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b="1">
                      <a:solidFill>
                        <a:sysClr val="windowText" lastClr="000000"/>
                      </a:solidFill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DDA-4731-B898-73FC1D46B99A}"/>
                </c:ext>
              </c:extLst>
            </c:dLbl>
            <c:dLbl>
              <c:idx val="1"/>
              <c:layout>
                <c:manualLayout>
                  <c:x val="-4.8481481481481483E-3"/>
                  <c:y val="-1.8260416666668283E-3"/>
                </c:manualLayout>
              </c:layout>
              <c:spPr/>
              <c:txPr>
                <a:bodyPr/>
                <a:lstStyle/>
                <a:p>
                  <a:pPr>
                    <a:defRPr b="1">
                      <a:solidFill>
                        <a:sysClr val="windowText" lastClr="000000"/>
                      </a:solidFill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DDA-4731-B898-73FC1D46B99A}"/>
                </c:ext>
              </c:extLst>
            </c:dLbl>
            <c:dLbl>
              <c:idx val="2"/>
              <c:layout>
                <c:manualLayout>
                  <c:x val="3.9066435185185211E-2"/>
                  <c:y val="-5.7326388888888892E-2"/>
                </c:manualLayout>
              </c:layout>
              <c:spPr/>
              <c:txPr>
                <a:bodyPr/>
                <a:lstStyle/>
                <a:p>
                  <a:pPr>
                    <a:defRPr b="1">
                      <a:solidFill>
                        <a:schemeClr val="tx1"/>
                      </a:solidFill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DDA-4731-B898-73FC1D46B99A}"/>
                </c:ext>
              </c:extLst>
            </c:dLbl>
            <c:dLbl>
              <c:idx val="3"/>
              <c:layout>
                <c:manualLayout>
                  <c:x val="-1.1415525114155251E-2"/>
                  <c:y val="-0.15085158150851583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DDA-4731-B898-73FC1D46B99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APOIO!$J$3:$J$5</c:f>
              <c:strCache>
                <c:ptCount val="3"/>
                <c:pt idx="0">
                  <c:v>Abastecidos</c:v>
                </c:pt>
                <c:pt idx="1">
                  <c:v>Improdutivos TBForte</c:v>
                </c:pt>
                <c:pt idx="2">
                  <c:v>Outro improdutivos</c:v>
                </c:pt>
              </c:strCache>
            </c:strRef>
          </c:cat>
          <c:val>
            <c:numRef>
              <c:f>APOIO!$K$3:$K$5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DDA-4731-B898-73FC1D46B99A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</c:plotArea>
    <c:legend>
      <c:legendPos val="r"/>
      <c:layout>
        <c:manualLayout>
          <c:xMode val="edge"/>
          <c:yMode val="edge"/>
          <c:x val="0.60619047619047617"/>
          <c:y val="0.42025937499999999"/>
          <c:w val="0.33907800925925924"/>
          <c:h val="0.26604583333333331"/>
        </c:manualLayout>
      </c:layout>
      <c:overlay val="0"/>
      <c:txPr>
        <a:bodyPr/>
        <a:lstStyle/>
        <a:p>
          <a:pPr rtl="0">
            <a:defRPr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 sz="16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pt-BR"/>
              <a:t>COMPOSIÇÃO CÉDULAS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33130324074074075"/>
          <c:y val="0.30405034722222224"/>
          <c:w val="0.39031018518518518"/>
          <c:h val="0.58546527777777779"/>
        </c:manualLayout>
      </c:layout>
      <c:doughnutChart>
        <c:varyColors val="1"/>
        <c:ser>
          <c:idx val="0"/>
          <c:order val="0"/>
          <c:explosion val="8"/>
          <c:dLbls>
            <c:spPr>
              <a:noFill/>
              <a:ln w="25400"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APOIO!$A$47:$A$49</c:f>
              <c:strCache>
                <c:ptCount val="3"/>
                <c:pt idx="0">
                  <c:v>Cédulas 100</c:v>
                </c:pt>
                <c:pt idx="1">
                  <c:v>Cédulas 50</c:v>
                </c:pt>
                <c:pt idx="2">
                  <c:v>Cédulas 20</c:v>
                </c:pt>
              </c:strCache>
            </c:strRef>
          </c:cat>
          <c:val>
            <c:numRef>
              <c:f>APOIO!$G$47:$G$49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3-412E-9466-1F4277912C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 w="25400">
          <a:noFill/>
        </a:ln>
      </c:spPr>
    </c:plotArea>
    <c:legend>
      <c:legendPos val="t"/>
      <c:overlay val="0"/>
      <c:txPr>
        <a:bodyPr/>
        <a:lstStyle/>
        <a:p>
          <a:pPr rtl="0">
            <a:defRPr sz="10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85725</xdr:colOff>
      <xdr:row>0</xdr:row>
      <xdr:rowOff>0</xdr:rowOff>
    </xdr:from>
    <xdr:to>
      <xdr:col>2</xdr:col>
      <xdr:colOff>434975</xdr:colOff>
      <xdr:row>11</xdr:row>
      <xdr:rowOff>142875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" y="0"/>
          <a:ext cx="3035300" cy="22383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15</xdr:row>
          <xdr:rowOff>57150</xdr:rowOff>
        </xdr:from>
        <xdr:to>
          <xdr:col>7</xdr:col>
          <xdr:colOff>447675</xdr:colOff>
          <xdr:row>21</xdr:row>
          <xdr:rowOff>0</xdr:rowOff>
        </xdr:to>
        <xdr:sp macro="" textlink="">
          <xdr:nvSpPr>
            <xdr:cNvPr id="1025" name="Botão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Cadastro de Programação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552450</xdr:colOff>
          <xdr:row>15</xdr:row>
          <xdr:rowOff>57150</xdr:rowOff>
        </xdr:from>
        <xdr:to>
          <xdr:col>12</xdr:col>
          <xdr:colOff>85725</xdr:colOff>
          <xdr:row>21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Cadastro de Improdutivos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209550</xdr:colOff>
          <xdr:row>15</xdr:row>
          <xdr:rowOff>57150</xdr:rowOff>
        </xdr:from>
        <xdr:to>
          <xdr:col>16</xdr:col>
          <xdr:colOff>352425</xdr:colOff>
          <xdr:row>21</xdr:row>
          <xdr:rowOff>0</xdr:rowOff>
        </xdr:to>
        <xdr:sp macro="" textlink="">
          <xdr:nvSpPr>
            <xdr:cNvPr id="1027" name="Button 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Enviar email Improdutivos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15</xdr:row>
          <xdr:rowOff>57150</xdr:rowOff>
        </xdr:from>
        <xdr:to>
          <xdr:col>21</xdr:col>
          <xdr:colOff>28575</xdr:colOff>
          <xdr:row>21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sng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</a:t>
              </a: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esquisar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142875</xdr:colOff>
          <xdr:row>15</xdr:row>
          <xdr:rowOff>57150</xdr:rowOff>
        </xdr:from>
        <xdr:to>
          <xdr:col>25</xdr:col>
          <xdr:colOff>285750</xdr:colOff>
          <xdr:row>21</xdr:row>
          <xdr:rowOff>0</xdr:rowOff>
        </xdr:to>
        <xdr:sp macro="" textlink="">
          <xdr:nvSpPr>
            <xdr:cNvPr id="1029" name="Button 4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Enviar email de quantidade de Abastecimento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761999</xdr:colOff>
      <xdr:row>12</xdr:row>
      <xdr:rowOff>0</xdr:rowOff>
    </xdr:from>
    <xdr:to>
      <xdr:col>8</xdr:col>
      <xdr:colOff>1409700</xdr:colOff>
      <xdr:row>12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12</xdr:row>
      <xdr:rowOff>76199</xdr:rowOff>
    </xdr:from>
    <xdr:to>
      <xdr:col>2</xdr:col>
      <xdr:colOff>1164844</xdr:colOff>
      <xdr:row>27</xdr:row>
      <xdr:rowOff>98699</xdr:rowOff>
    </xdr:to>
    <xdr:graphicFrame macro="">
      <xdr:nvGraphicFramePr>
        <xdr:cNvPr id="3" name="abastecimento_nao_realizado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3</xdr:col>
      <xdr:colOff>971551</xdr:colOff>
      <xdr:row>12</xdr:row>
      <xdr:rowOff>76199</xdr:rowOff>
    </xdr:from>
    <xdr:to>
      <xdr:col>5</xdr:col>
      <xdr:colOff>988633</xdr:colOff>
      <xdr:row>27</xdr:row>
      <xdr:rowOff>98699</xdr:rowOff>
    </xdr:to>
    <xdr:graphicFrame macro="">
      <xdr:nvGraphicFramePr>
        <xdr:cNvPr id="4" name="problemas_tecnicos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6</xdr:col>
      <xdr:colOff>697708</xdr:colOff>
      <xdr:row>12</xdr:row>
      <xdr:rowOff>76199</xdr:rowOff>
    </xdr:from>
    <xdr:to>
      <xdr:col>7</xdr:col>
      <xdr:colOff>867188</xdr:colOff>
      <xdr:row>27</xdr:row>
      <xdr:rowOff>98699</xdr:rowOff>
    </xdr:to>
    <xdr:graphicFrame macro="">
      <xdr:nvGraphicFramePr>
        <xdr:cNvPr id="5" name="improdutivos_fbforte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266699</xdr:colOff>
      <xdr:row>52</xdr:row>
      <xdr:rowOff>69055</xdr:rowOff>
    </xdr:from>
    <xdr:to>
      <xdr:col>5</xdr:col>
      <xdr:colOff>557624</xdr:colOff>
      <xdr:row>67</xdr:row>
      <xdr:rowOff>91555</xdr:rowOff>
    </xdr:to>
    <xdr:graphicFrame macro="">
      <xdr:nvGraphicFramePr>
        <xdr:cNvPr id="6" name="composicao_cedulas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/>
  <dimension ref="A1:AB30"/>
  <sheetViews>
    <sheetView showGridLines="0" showRowColHeaders="0" tabSelected="1" topLeftCell="B1" workbookViewId="0">
      <selection activeCell="H26" sqref="H26"/>
    </sheetView>
  </sheetViews>
  <sheetFormatPr defaultRowHeight="15" x14ac:dyDescent="0.25"/>
  <cols>
    <col min="1" max="1" width="31.140625" style="1" bestFit="1" customWidth="1"/>
    <col min="2" max="16384" width="9.140625" style="2"/>
  </cols>
  <sheetData>
    <row r="1" spans="1:28" ht="15" customHeight="1" x14ac:dyDescent="0.25">
      <c r="A1" s="2"/>
      <c r="D1" s="103" t="s">
        <v>29</v>
      </c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3"/>
      <c r="AA1" s="3"/>
      <c r="AB1" s="3"/>
    </row>
    <row r="2" spans="1:28" ht="15" customHeight="1" x14ac:dyDescent="0.25">
      <c r="A2" s="2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3"/>
      <c r="AA2" s="3"/>
      <c r="AB2" s="3"/>
    </row>
    <row r="3" spans="1:28" ht="15" customHeight="1" x14ac:dyDescent="0.25">
      <c r="A3" s="2"/>
      <c r="D3" s="103"/>
      <c r="E3" s="103"/>
      <c r="F3" s="103"/>
      <c r="G3" s="103"/>
      <c r="H3" s="103"/>
      <c r="I3" s="103"/>
      <c r="J3" s="103"/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3"/>
      <c r="AA3" s="3"/>
      <c r="AB3" s="3"/>
    </row>
    <row r="4" spans="1:28" ht="15" customHeight="1" x14ac:dyDescent="0.25">
      <c r="A4" s="2"/>
      <c r="D4" s="103"/>
      <c r="E4" s="103"/>
      <c r="F4" s="103"/>
      <c r="G4" s="103"/>
      <c r="H4" s="103"/>
      <c r="I4" s="103"/>
      <c r="J4" s="103"/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3"/>
      <c r="AA4" s="3"/>
      <c r="AB4" s="3"/>
    </row>
    <row r="5" spans="1:28" ht="15" customHeight="1" x14ac:dyDescent="0.25">
      <c r="A5" s="2"/>
      <c r="D5" s="103"/>
      <c r="E5" s="103"/>
      <c r="F5" s="103"/>
      <c r="G5" s="103"/>
      <c r="H5" s="103"/>
      <c r="I5" s="103"/>
      <c r="J5" s="103"/>
      <c r="K5" s="103"/>
      <c r="L5" s="103"/>
      <c r="M5" s="103"/>
      <c r="N5" s="103"/>
      <c r="O5" s="103"/>
      <c r="P5" s="103"/>
      <c r="Q5" s="103"/>
      <c r="R5" s="103"/>
      <c r="S5" s="103"/>
      <c r="T5" s="103"/>
      <c r="U5" s="103"/>
      <c r="V5" s="103"/>
      <c r="W5" s="103"/>
      <c r="X5" s="103"/>
      <c r="Y5" s="103"/>
      <c r="Z5" s="3"/>
      <c r="AA5" s="3"/>
      <c r="AB5" s="3"/>
    </row>
    <row r="6" spans="1:28" ht="15" customHeight="1" x14ac:dyDescent="0.25">
      <c r="A6" s="2"/>
      <c r="D6" s="103"/>
      <c r="E6" s="103"/>
      <c r="F6" s="103"/>
      <c r="G6" s="103"/>
      <c r="H6" s="103"/>
      <c r="I6" s="103"/>
      <c r="J6" s="103"/>
      <c r="K6" s="103"/>
      <c r="L6" s="103"/>
      <c r="M6" s="103"/>
      <c r="N6" s="103"/>
      <c r="O6" s="103"/>
      <c r="P6" s="103"/>
      <c r="Q6" s="103"/>
      <c r="R6" s="103"/>
      <c r="S6" s="103"/>
      <c r="T6" s="103"/>
      <c r="U6" s="103"/>
      <c r="V6" s="103"/>
      <c r="W6" s="103"/>
      <c r="X6" s="103"/>
      <c r="Y6" s="103"/>
      <c r="Z6" s="3"/>
      <c r="AA6" s="3"/>
      <c r="AB6" s="3"/>
    </row>
    <row r="7" spans="1:28" ht="15" customHeight="1" x14ac:dyDescent="0.25">
      <c r="A7" s="2"/>
      <c r="D7" s="103"/>
      <c r="E7" s="103"/>
      <c r="F7" s="103"/>
      <c r="G7" s="103"/>
      <c r="H7" s="103"/>
      <c r="I7" s="103"/>
      <c r="J7" s="103"/>
      <c r="K7" s="103"/>
      <c r="L7" s="103"/>
      <c r="M7" s="103"/>
      <c r="N7" s="103"/>
      <c r="O7" s="103"/>
      <c r="P7" s="103"/>
      <c r="Q7" s="103"/>
      <c r="R7" s="103"/>
      <c r="S7" s="103"/>
      <c r="T7" s="103"/>
      <c r="U7" s="103"/>
      <c r="V7" s="103"/>
      <c r="W7" s="103"/>
      <c r="X7" s="103"/>
      <c r="Y7" s="103"/>
      <c r="Z7" s="3"/>
      <c r="AA7" s="3"/>
      <c r="AB7" s="3"/>
    </row>
    <row r="8" spans="1:28" ht="15" customHeight="1" x14ac:dyDescent="0.25">
      <c r="A8" s="2"/>
      <c r="D8" s="103"/>
      <c r="E8" s="103"/>
      <c r="F8" s="103"/>
      <c r="G8" s="103"/>
      <c r="H8" s="103"/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03"/>
      <c r="T8" s="103"/>
      <c r="U8" s="103"/>
      <c r="V8" s="103"/>
      <c r="W8" s="103"/>
      <c r="X8" s="103"/>
      <c r="Y8" s="103"/>
      <c r="Z8" s="3"/>
      <c r="AA8" s="3"/>
      <c r="AB8" s="3"/>
    </row>
    <row r="9" spans="1:28" ht="15" customHeight="1" x14ac:dyDescent="0.25">
      <c r="A9" s="2"/>
      <c r="D9" s="103"/>
      <c r="E9" s="103"/>
      <c r="F9" s="103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3"/>
      <c r="AA9" s="3"/>
      <c r="AB9" s="3"/>
    </row>
    <row r="10" spans="1:28" x14ac:dyDescent="0.25">
      <c r="A10" s="2"/>
    </row>
    <row r="11" spans="1:28" x14ac:dyDescent="0.25">
      <c r="A11" s="2"/>
    </row>
    <row r="12" spans="1:28" x14ac:dyDescent="0.25">
      <c r="A12" s="2"/>
    </row>
    <row r="13" spans="1:28" x14ac:dyDescent="0.25">
      <c r="A13" s="2"/>
    </row>
    <row r="14" spans="1:28" x14ac:dyDescent="0.25">
      <c r="A14" s="2"/>
    </row>
    <row r="15" spans="1:28" x14ac:dyDescent="0.25">
      <c r="A15" s="2"/>
    </row>
    <row r="16" spans="1:28" x14ac:dyDescent="0.25">
      <c r="A16" s="2"/>
    </row>
    <row r="17" spans="1:19" x14ac:dyDescent="0.25">
      <c r="A17" s="2"/>
    </row>
    <row r="18" spans="1:19" x14ac:dyDescent="0.25">
      <c r="A18" s="2"/>
    </row>
    <row r="19" spans="1:19" x14ac:dyDescent="0.25">
      <c r="A19" s="2"/>
    </row>
    <row r="23" spans="1:19" x14ac:dyDescent="0.25">
      <c r="A23" s="2"/>
    </row>
    <row r="24" spans="1:19" x14ac:dyDescent="0.25">
      <c r="A24" s="2"/>
      <c r="D24" s="10"/>
    </row>
    <row r="25" spans="1:19" x14ac:dyDescent="0.25">
      <c r="A25" s="2"/>
    </row>
    <row r="26" spans="1:19" x14ac:dyDescent="0.25">
      <c r="A26" s="2"/>
    </row>
    <row r="27" spans="1:19" x14ac:dyDescent="0.25">
      <c r="A27" s="2"/>
    </row>
    <row r="28" spans="1:19" x14ac:dyDescent="0.25">
      <c r="A28" s="2"/>
      <c r="S28" s="2" t="s">
        <v>161</v>
      </c>
    </row>
    <row r="29" spans="1:19" x14ac:dyDescent="0.25">
      <c r="A29" s="2"/>
    </row>
    <row r="30" spans="1:19" x14ac:dyDescent="0.25">
      <c r="A30" s="2"/>
    </row>
  </sheetData>
  <sheetProtection selectLockedCells="1" selectUnlockedCells="1"/>
  <mergeCells count="1">
    <mergeCell ref="D1:Y9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ela_cad_programacao">
                <anchor moveWithCells="1">
                  <from>
                    <xdr:col>3</xdr:col>
                    <xdr:colOff>304800</xdr:colOff>
                    <xdr:row>15</xdr:row>
                    <xdr:rowOff>57150</xdr:rowOff>
                  </from>
                  <to>
                    <xdr:col>7</xdr:col>
                    <xdr:colOff>447675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ela_cad_improdutivos">
                <anchor moveWithCells="1">
                  <from>
                    <xdr:col>7</xdr:col>
                    <xdr:colOff>552450</xdr:colOff>
                    <xdr:row>15</xdr:row>
                    <xdr:rowOff>57150</xdr:rowOff>
                  </from>
                  <to>
                    <xdr:col>12</xdr:col>
                    <xdr:colOff>85725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tela_email_improdutivos">
                <anchor moveWithCells="1">
                  <from>
                    <xdr:col>12</xdr:col>
                    <xdr:colOff>209550</xdr:colOff>
                    <xdr:row>15</xdr:row>
                    <xdr:rowOff>57150</xdr:rowOff>
                  </from>
                  <to>
                    <xdr:col>16</xdr:col>
                    <xdr:colOff>352425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tela_consulta_programcacao">
                <anchor moveWithCells="1">
                  <from>
                    <xdr:col>16</xdr:col>
                    <xdr:colOff>495300</xdr:colOff>
                    <xdr:row>15</xdr:row>
                    <xdr:rowOff>57150</xdr:rowOff>
                  </from>
                  <to>
                    <xdr:col>21</xdr:col>
                    <xdr:colOff>28575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tela_email_programacao">
                <anchor moveWithCells="1">
                  <from>
                    <xdr:col>21</xdr:col>
                    <xdr:colOff>142875</xdr:colOff>
                    <xdr:row>15</xdr:row>
                    <xdr:rowOff>57150</xdr:rowOff>
                  </from>
                  <to>
                    <xdr:col>25</xdr:col>
                    <xdr:colOff>285750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R30"/>
  <sheetViews>
    <sheetView zoomScaleNormal="100" workbookViewId="0">
      <selection activeCell="B37" sqref="B37"/>
    </sheetView>
  </sheetViews>
  <sheetFormatPr defaultRowHeight="15" x14ac:dyDescent="0.25"/>
  <cols>
    <col min="1" max="1" width="27.7109375" bestFit="1" customWidth="1"/>
    <col min="2" max="2" width="27.7109375" customWidth="1"/>
    <col min="3" max="18" width="19.140625" customWidth="1"/>
  </cols>
  <sheetData>
    <row r="1" spans="1:18" x14ac:dyDescent="0.25">
      <c r="A1" s="6" t="s">
        <v>28</v>
      </c>
      <c r="C1" s="104" t="s">
        <v>42</v>
      </c>
      <c r="D1" s="104"/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</row>
    <row r="2" spans="1:18" ht="45" x14ac:dyDescent="0.25">
      <c r="A2" s="7" t="s">
        <v>0</v>
      </c>
      <c r="C2" s="4" t="s">
        <v>30</v>
      </c>
      <c r="D2" s="4" t="s">
        <v>31</v>
      </c>
      <c r="E2" s="4" t="s">
        <v>32</v>
      </c>
      <c r="F2" s="4" t="s">
        <v>33</v>
      </c>
      <c r="G2" s="4" t="s">
        <v>34</v>
      </c>
      <c r="H2" s="4" t="s">
        <v>44</v>
      </c>
      <c r="I2" s="4" t="s">
        <v>45</v>
      </c>
      <c r="J2" s="4" t="s">
        <v>35</v>
      </c>
      <c r="K2" s="4" t="s">
        <v>46</v>
      </c>
      <c r="L2" s="4" t="s">
        <v>36</v>
      </c>
      <c r="M2" s="4" t="s">
        <v>37</v>
      </c>
      <c r="N2" s="4" t="s">
        <v>38</v>
      </c>
      <c r="O2" s="4" t="s">
        <v>47</v>
      </c>
      <c r="P2" s="4" t="s">
        <v>39</v>
      </c>
      <c r="Q2" s="4" t="s">
        <v>40</v>
      </c>
      <c r="R2" s="4" t="s">
        <v>41</v>
      </c>
    </row>
    <row r="3" spans="1:18" x14ac:dyDescent="0.25">
      <c r="A3" s="7" t="s">
        <v>1</v>
      </c>
      <c r="C3" s="8"/>
      <c r="D3" s="9"/>
      <c r="E3" s="13"/>
      <c r="F3" s="8"/>
      <c r="G3" s="11"/>
      <c r="H3" s="12"/>
      <c r="I3" s="13"/>
      <c r="J3" s="11"/>
      <c r="K3" s="15"/>
      <c r="L3" s="13"/>
      <c r="M3" s="14"/>
      <c r="N3" s="16"/>
      <c r="O3" s="17"/>
      <c r="P3" s="16"/>
      <c r="Q3" s="16"/>
      <c r="R3" s="16"/>
    </row>
    <row r="4" spans="1:18" x14ac:dyDescent="0.25">
      <c r="A4" s="7" t="s">
        <v>2</v>
      </c>
    </row>
    <row r="5" spans="1:18" x14ac:dyDescent="0.25">
      <c r="A5" s="7" t="s">
        <v>3</v>
      </c>
    </row>
    <row r="6" spans="1:18" x14ac:dyDescent="0.25">
      <c r="A6" s="7" t="s">
        <v>4</v>
      </c>
      <c r="D6" s="47" t="s">
        <v>123</v>
      </c>
    </row>
    <row r="7" spans="1:18" x14ac:dyDescent="0.25">
      <c r="A7" s="7" t="s">
        <v>43</v>
      </c>
      <c r="D7" s="46" t="s">
        <v>124</v>
      </c>
    </row>
    <row r="8" spans="1:18" x14ac:dyDescent="0.25">
      <c r="A8" s="7" t="s">
        <v>5</v>
      </c>
    </row>
    <row r="9" spans="1:18" x14ac:dyDescent="0.25">
      <c r="A9" s="7" t="s">
        <v>6</v>
      </c>
    </row>
    <row r="10" spans="1:18" x14ac:dyDescent="0.25">
      <c r="A10" s="7" t="s">
        <v>7</v>
      </c>
    </row>
    <row r="11" spans="1:18" x14ac:dyDescent="0.25">
      <c r="A11" s="7" t="s">
        <v>8</v>
      </c>
    </row>
    <row r="12" spans="1:18" x14ac:dyDescent="0.25">
      <c r="A12" s="7" t="s">
        <v>9</v>
      </c>
      <c r="G12" s="5"/>
      <c r="H12" s="5"/>
      <c r="I12" s="5"/>
    </row>
    <row r="13" spans="1:18" x14ac:dyDescent="0.25">
      <c r="A13" s="7" t="s">
        <v>10</v>
      </c>
    </row>
    <row r="14" spans="1:18" x14ac:dyDescent="0.25">
      <c r="A14" s="7" t="s">
        <v>11</v>
      </c>
    </row>
    <row r="15" spans="1:18" x14ac:dyDescent="0.25">
      <c r="A15" s="7" t="s">
        <v>12</v>
      </c>
      <c r="J15" s="5"/>
      <c r="K15" s="5"/>
    </row>
    <row r="16" spans="1:18" x14ac:dyDescent="0.25">
      <c r="A16" s="7" t="s">
        <v>13</v>
      </c>
    </row>
    <row r="17" spans="1:1" x14ac:dyDescent="0.25">
      <c r="A17" s="7" t="s">
        <v>14</v>
      </c>
    </row>
    <row r="18" spans="1:1" x14ac:dyDescent="0.25">
      <c r="A18" s="7" t="s">
        <v>15</v>
      </c>
    </row>
    <row r="19" spans="1:1" x14ac:dyDescent="0.25">
      <c r="A19" s="7" t="s">
        <v>16</v>
      </c>
    </row>
    <row r="20" spans="1:1" x14ac:dyDescent="0.25">
      <c r="A20" s="7" t="s">
        <v>17</v>
      </c>
    </row>
    <row r="21" spans="1:1" x14ac:dyDescent="0.25">
      <c r="A21" s="7" t="s">
        <v>18</v>
      </c>
    </row>
    <row r="22" spans="1:1" x14ac:dyDescent="0.25">
      <c r="A22" s="7" t="s">
        <v>19</v>
      </c>
    </row>
    <row r="23" spans="1:1" x14ac:dyDescent="0.25">
      <c r="A23" s="7" t="s">
        <v>20</v>
      </c>
    </row>
    <row r="24" spans="1:1" x14ac:dyDescent="0.25">
      <c r="A24" s="7" t="s">
        <v>21</v>
      </c>
    </row>
    <row r="25" spans="1:1" x14ac:dyDescent="0.25">
      <c r="A25" s="7" t="s">
        <v>22</v>
      </c>
    </row>
    <row r="26" spans="1:1" x14ac:dyDescent="0.25">
      <c r="A26" s="7" t="s">
        <v>23</v>
      </c>
    </row>
    <row r="27" spans="1:1" x14ac:dyDescent="0.25">
      <c r="A27" s="7" t="s">
        <v>24</v>
      </c>
    </row>
    <row r="28" spans="1:1" x14ac:dyDescent="0.25">
      <c r="A28" s="7" t="s">
        <v>25</v>
      </c>
    </row>
    <row r="29" spans="1:1" x14ac:dyDescent="0.25">
      <c r="A29" s="7" t="s">
        <v>26</v>
      </c>
    </row>
    <row r="30" spans="1:1" x14ac:dyDescent="0.25">
      <c r="A30" s="7" t="s">
        <v>27</v>
      </c>
    </row>
  </sheetData>
  <mergeCells count="1">
    <mergeCell ref="C1:R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>
    <tabColor theme="1"/>
  </sheetPr>
  <dimension ref="A1:O72"/>
  <sheetViews>
    <sheetView showGridLines="0" topLeftCell="A25" zoomScaleNormal="100" workbookViewId="0">
      <selection activeCell="E33" sqref="E33"/>
    </sheetView>
  </sheetViews>
  <sheetFormatPr defaultColWidth="25.7109375" defaultRowHeight="15" x14ac:dyDescent="0.25"/>
  <cols>
    <col min="1" max="1" width="26.42578125" style="26" bestFit="1" customWidth="1"/>
    <col min="2" max="2" width="20.85546875" style="26" bestFit="1" customWidth="1"/>
    <col min="3" max="3" width="17.7109375" style="26" bestFit="1" customWidth="1"/>
    <col min="4" max="4" width="41.28515625" style="26" bestFit="1" customWidth="1"/>
    <col min="5" max="5" width="23.140625" style="26" bestFit="1" customWidth="1"/>
    <col min="6" max="6" width="17.85546875" style="26" bestFit="1" customWidth="1"/>
    <col min="7" max="7" width="62.28515625" style="26" bestFit="1" customWidth="1"/>
    <col min="8" max="8" width="24.85546875" style="26" bestFit="1" customWidth="1"/>
    <col min="9" max="9" width="11.85546875" style="26" bestFit="1" customWidth="1"/>
    <col min="10" max="10" width="20.7109375" style="26" bestFit="1" customWidth="1"/>
    <col min="11" max="11" width="8.140625" style="26" bestFit="1" customWidth="1"/>
    <col min="12" max="12" width="1.5703125" style="26" customWidth="1"/>
    <col min="13" max="13" width="12.140625" style="26" bestFit="1" customWidth="1"/>
    <col min="14" max="14" width="21.28515625" style="26" customWidth="1"/>
    <col min="15" max="16384" width="25.7109375" style="26"/>
  </cols>
  <sheetData>
    <row r="1" spans="1:15" x14ac:dyDescent="0.25">
      <c r="A1" s="23" t="s">
        <v>63</v>
      </c>
      <c r="B1" s="84"/>
      <c r="D1" s="34" t="s">
        <v>62</v>
      </c>
      <c r="E1" s="33">
        <f>IFERROR($B$3,"")</f>
        <v>0</v>
      </c>
      <c r="F1"/>
      <c r="G1"/>
      <c r="H1"/>
      <c r="I1"/>
      <c r="J1"/>
      <c r="K1"/>
      <c r="L1"/>
      <c r="M1" s="112" t="s">
        <v>145</v>
      </c>
      <c r="N1" s="113"/>
      <c r="O1" s="105" t="s">
        <v>156</v>
      </c>
    </row>
    <row r="2" spans="1:15" x14ac:dyDescent="0.25">
      <c r="B2" s="85"/>
      <c r="D2" s="27"/>
      <c r="E2" s="27"/>
      <c r="F2"/>
      <c r="G2"/>
      <c r="H2"/>
      <c r="I2"/>
      <c r="J2"/>
      <c r="K2"/>
      <c r="L2"/>
      <c r="M2" s="25" t="s">
        <v>68</v>
      </c>
      <c r="N2" s="90" t="str">
        <f>IFERROR(VLOOKUP($B$1,DESTINATARIOS!$A$2:$C$39,2,0),"")</f>
        <v/>
      </c>
      <c r="O2" s="105"/>
    </row>
    <row r="3" spans="1:15" x14ac:dyDescent="0.25">
      <c r="A3" s="23" t="s">
        <v>64</v>
      </c>
      <c r="B3" s="86"/>
      <c r="D3" s="110" t="str">
        <f>"CAPACIDADE  ("&amp;$B$8&amp;")"</f>
        <v>CAPACIDADE  (10)</v>
      </c>
      <c r="E3" s="111"/>
      <c r="F3"/>
      <c r="G3" s="23" t="s">
        <v>50</v>
      </c>
      <c r="H3" s="28"/>
      <c r="I3" s="18"/>
      <c r="J3" s="82" t="s">
        <v>59</v>
      </c>
      <c r="K3" s="83" t="e">
        <f>($E$11-SUM(H$3:H$5))/$E$11</f>
        <v>#DIV/0!</v>
      </c>
      <c r="M3" s="25" t="s">
        <v>67</v>
      </c>
      <c r="N3" s="90" t="str">
        <f>IFERROR(VLOOKUP($B$1,DESTINATARIOS!$A$2:$C$39,3,0),"")</f>
        <v/>
      </c>
      <c r="O3" s="105"/>
    </row>
    <row r="4" spans="1:15" x14ac:dyDescent="0.25">
      <c r="B4" s="85"/>
      <c r="D4" s="19" t="s">
        <v>49</v>
      </c>
      <c r="E4" s="28"/>
      <c r="F4"/>
      <c r="G4" s="23" t="s">
        <v>52</v>
      </c>
      <c r="H4" s="28"/>
      <c r="I4" s="18"/>
      <c r="J4" s="23" t="s">
        <v>60</v>
      </c>
      <c r="K4" s="35" t="str">
        <f>IFERROR($H$4/$E$11,"")</f>
        <v/>
      </c>
      <c r="O4" s="105"/>
    </row>
    <row r="5" spans="1:15" x14ac:dyDescent="0.25">
      <c r="A5" s="23" t="s">
        <v>66</v>
      </c>
      <c r="B5" s="86"/>
      <c r="D5" s="19" t="s">
        <v>51</v>
      </c>
      <c r="E5" s="28">
        <f>$B$5-$B$6</f>
        <v>0</v>
      </c>
      <c r="F5"/>
      <c r="G5" s="23" t="s">
        <v>48</v>
      </c>
      <c r="H5" s="12"/>
      <c r="I5" s="18"/>
      <c r="J5" s="23" t="s">
        <v>61</v>
      </c>
      <c r="K5" s="35" t="str">
        <f>IFERROR(SUM($H$3,$H$5)/$E$11,"")</f>
        <v/>
      </c>
      <c r="O5" s="105"/>
    </row>
    <row r="6" spans="1:15" x14ac:dyDescent="0.25">
      <c r="A6" s="23" t="s">
        <v>65</v>
      </c>
      <c r="B6" s="86"/>
      <c r="D6" s="19" t="s">
        <v>53</v>
      </c>
      <c r="E6" s="29">
        <f>(E4+E5)-E10</f>
        <v>0</v>
      </c>
      <c r="F6"/>
      <c r="G6" s="23" t="s">
        <v>138</v>
      </c>
      <c r="H6" s="28">
        <f>SUM(H3:$H$5)</f>
        <v>0</v>
      </c>
      <c r="I6" s="18"/>
      <c r="O6" s="105"/>
    </row>
    <row r="7" spans="1:15" x14ac:dyDescent="0.25">
      <c r="B7" s="85"/>
      <c r="D7" s="19" t="s">
        <v>54</v>
      </c>
      <c r="E7" s="12"/>
      <c r="F7"/>
      <c r="I7" s="18"/>
      <c r="M7" s="20"/>
      <c r="O7" s="105"/>
    </row>
    <row r="8" spans="1:15" x14ac:dyDescent="0.25">
      <c r="A8" s="23" t="s">
        <v>34</v>
      </c>
      <c r="B8" s="84">
        <v>10</v>
      </c>
      <c r="D8" s="19" t="s">
        <v>55</v>
      </c>
      <c r="E8" s="12"/>
      <c r="F8"/>
      <c r="I8" s="18"/>
      <c r="J8" s="21"/>
      <c r="K8" s="21"/>
      <c r="M8" s="30"/>
      <c r="O8" s="105"/>
    </row>
    <row r="9" spans="1:15" x14ac:dyDescent="0.25">
      <c r="D9" s="19" t="s">
        <v>56</v>
      </c>
      <c r="E9" s="12"/>
      <c r="F9"/>
      <c r="I9" s="18"/>
      <c r="J9" s="21"/>
      <c r="K9" s="21"/>
      <c r="M9" s="20"/>
      <c r="O9" s="105"/>
    </row>
    <row r="10" spans="1:15" x14ac:dyDescent="0.25">
      <c r="D10" s="31" t="s">
        <v>57</v>
      </c>
      <c r="E10" s="28">
        <f>SUM(E7:E9)</f>
        <v>0</v>
      </c>
      <c r="F10"/>
      <c r="G10"/>
      <c r="H10"/>
      <c r="I10" s="18"/>
      <c r="J10" s="21"/>
      <c r="K10" s="22"/>
      <c r="M10" s="20"/>
      <c r="O10" s="105"/>
    </row>
    <row r="11" spans="1:15" x14ac:dyDescent="0.25">
      <c r="D11" s="23" t="s">
        <v>58</v>
      </c>
      <c r="E11" s="32">
        <f>E4+E5</f>
        <v>0</v>
      </c>
      <c r="F11"/>
      <c r="G11"/>
      <c r="H11"/>
      <c r="I11" s="18"/>
      <c r="O11" s="105"/>
    </row>
    <row r="12" spans="1:15" x14ac:dyDescent="0.25">
      <c r="D12" s="24"/>
      <c r="E12" s="27"/>
      <c r="F12" s="27"/>
      <c r="G12" s="27"/>
      <c r="H12" s="27"/>
      <c r="I12" s="18"/>
      <c r="O12" s="105"/>
    </row>
    <row r="13" spans="1:15" x14ac:dyDescent="0.25">
      <c r="O13" s="105"/>
    </row>
    <row r="14" spans="1:15" x14ac:dyDescent="0.25">
      <c r="O14" s="105"/>
    </row>
    <row r="15" spans="1:15" x14ac:dyDescent="0.25">
      <c r="O15" s="105"/>
    </row>
    <row r="16" spans="1:15" x14ac:dyDescent="0.25">
      <c r="O16" s="105"/>
    </row>
    <row r="17" spans="1:15" x14ac:dyDescent="0.25">
      <c r="O17" s="105"/>
    </row>
    <row r="18" spans="1:15" x14ac:dyDescent="0.25">
      <c r="O18" s="105"/>
    </row>
    <row r="19" spans="1:15" x14ac:dyDescent="0.25">
      <c r="O19" s="105"/>
    </row>
    <row r="20" spans="1:15" x14ac:dyDescent="0.25">
      <c r="O20" s="105"/>
    </row>
    <row r="21" spans="1:15" x14ac:dyDescent="0.25">
      <c r="O21" s="105"/>
    </row>
    <row r="22" spans="1:15" x14ac:dyDescent="0.25">
      <c r="O22" s="105"/>
    </row>
    <row r="23" spans="1:15" x14ac:dyDescent="0.25">
      <c r="O23" s="105"/>
    </row>
    <row r="24" spans="1:15" x14ac:dyDescent="0.25">
      <c r="O24" s="105"/>
    </row>
    <row r="25" spans="1:15" x14ac:dyDescent="0.25">
      <c r="O25" s="105"/>
    </row>
    <row r="26" spans="1:15" x14ac:dyDescent="0.25">
      <c r="O26" s="105"/>
    </row>
    <row r="27" spans="1:15" x14ac:dyDescent="0.25">
      <c r="O27" s="105"/>
    </row>
    <row r="28" spans="1:15" x14ac:dyDescent="0.25">
      <c r="O28" s="105"/>
    </row>
    <row r="29" spans="1:15" ht="15.75" thickBot="1" x14ac:dyDescent="0.3">
      <c r="A29"/>
      <c r="B29"/>
      <c r="C29" s="71"/>
      <c r="D29" s="71"/>
      <c r="E29" s="71"/>
      <c r="F29" s="71"/>
      <c r="G29" s="71"/>
      <c r="H29" s="71"/>
      <c r="I29" s="71"/>
      <c r="J29" s="71"/>
      <c r="K29" s="71"/>
      <c r="L29" s="71"/>
      <c r="M29" s="71"/>
      <c r="N29" s="71"/>
      <c r="O29" s="106"/>
    </row>
    <row r="30" spans="1:15" ht="32.25" customHeight="1" thickTop="1" x14ac:dyDescent="0.25">
      <c r="A30" s="89"/>
      <c r="B30" s="89"/>
      <c r="C30" s="89"/>
      <c r="D30" s="89"/>
      <c r="E30" s="89"/>
      <c r="F30" s="89"/>
      <c r="G30" s="89"/>
      <c r="H30" s="89"/>
      <c r="I30" s="117" t="s">
        <v>172</v>
      </c>
      <c r="J30" s="118"/>
      <c r="K30" s="89"/>
      <c r="L30" s="89"/>
      <c r="M30" s="117" t="s">
        <v>171</v>
      </c>
      <c r="N30" s="118"/>
      <c r="O30" s="107" t="s">
        <v>155</v>
      </c>
    </row>
    <row r="31" spans="1:15" x14ac:dyDescent="0.25">
      <c r="A31"/>
      <c r="B31"/>
      <c r="C31"/>
      <c r="D31"/>
      <c r="E31"/>
      <c r="F31"/>
      <c r="G31"/>
      <c r="H31"/>
      <c r="I31" s="25" t="s">
        <v>68</v>
      </c>
      <c r="J31" s="90" t="str">
        <f>IFERROR(VLOOKUP($B$33,DESTINATARIOS!$A$84:$C$121,2,0),"")</f>
        <v/>
      </c>
      <c r="K31"/>
      <c r="L31"/>
      <c r="M31" s="25" t="s">
        <v>68</v>
      </c>
      <c r="N31" s="90" t="str">
        <f>IFERROR(VLOOKUP($B$33,DESTINATARIOS!$A$43:$C$80,2,0),"")</f>
        <v/>
      </c>
      <c r="O31" s="105"/>
    </row>
    <row r="32" spans="1:15" customFormat="1" x14ac:dyDescent="0.25">
      <c r="D32" s="26"/>
      <c r="E32" s="26"/>
      <c r="I32" s="25" t="s">
        <v>67</v>
      </c>
      <c r="J32" s="90" t="str">
        <f>IFERROR(VLOOKUP($B$33,DESTINATARIOS!$A$84:$C$121,3,0),"")</f>
        <v/>
      </c>
      <c r="M32" s="25" t="s">
        <v>67</v>
      </c>
      <c r="N32" s="90" t="str">
        <f>IFERROR(VLOOKUP($B$33,DESTINATARIOS!$A$43:$C$80,3,0),"")</f>
        <v/>
      </c>
      <c r="O32" s="105"/>
    </row>
    <row r="33" spans="1:15" customFormat="1" x14ac:dyDescent="0.25">
      <c r="A33" s="48" t="s">
        <v>63</v>
      </c>
      <c r="B33" s="84"/>
      <c r="D33" s="48" t="s">
        <v>157</v>
      </c>
      <c r="E33" s="86"/>
      <c r="O33" s="105"/>
    </row>
    <row r="34" spans="1:15" ht="26.25" x14ac:dyDescent="0.25">
      <c r="A34" s="87"/>
      <c r="B34" s="85"/>
      <c r="C34" s="72"/>
      <c r="D34"/>
      <c r="E34"/>
      <c r="F34" s="97" t="s">
        <v>160</v>
      </c>
      <c r="G34" s="72"/>
      <c r="H34" s="72"/>
      <c r="I34" s="72"/>
      <c r="J34" s="72"/>
      <c r="K34" s="72"/>
      <c r="L34" s="72"/>
      <c r="M34" s="72"/>
      <c r="N34" s="72"/>
      <c r="O34" s="105"/>
    </row>
    <row r="35" spans="1:15" customFormat="1" x14ac:dyDescent="0.25">
      <c r="A35" s="48" t="s">
        <v>64</v>
      </c>
      <c r="B35" s="86"/>
      <c r="D35" s="48" t="s">
        <v>158</v>
      </c>
      <c r="E35" s="84"/>
      <c r="F35" s="99"/>
      <c r="G35" s="96" t="s">
        <v>159</v>
      </c>
      <c r="O35" s="105"/>
    </row>
    <row r="36" spans="1:15" ht="26.25" x14ac:dyDescent="0.25">
      <c r="A36" s="72"/>
      <c r="B36" s="72"/>
      <c r="C36" s="72"/>
      <c r="D36" s="72"/>
      <c r="E36" s="72"/>
      <c r="F36" s="72"/>
      <c r="G36" s="72"/>
      <c r="H36" s="72"/>
      <c r="I36" s="72"/>
      <c r="J36" s="72"/>
      <c r="K36" s="72"/>
      <c r="L36" s="72"/>
      <c r="M36" s="72"/>
      <c r="N36" s="72"/>
      <c r="O36" s="105"/>
    </row>
    <row r="37" spans="1:15" ht="21" x14ac:dyDescent="0.35">
      <c r="A37" s="116" t="s">
        <v>150</v>
      </c>
      <c r="B37" s="116"/>
      <c r="C37" s="116"/>
      <c r="D37" s="116"/>
      <c r="E37" s="116"/>
      <c r="F37" s="116"/>
      <c r="G37" s="116"/>
      <c r="O37" s="105"/>
    </row>
    <row r="38" spans="1:15" x14ac:dyDescent="0.25">
      <c r="A38" s="77" t="s">
        <v>137</v>
      </c>
      <c r="B38" s="78">
        <v>100</v>
      </c>
      <c r="C38" s="78">
        <v>50</v>
      </c>
      <c r="D38" s="78">
        <v>20</v>
      </c>
      <c r="E38" s="78">
        <v>5</v>
      </c>
      <c r="F38" s="78">
        <v>2</v>
      </c>
      <c r="G38" s="75" t="s">
        <v>153</v>
      </c>
      <c r="H38" s="62"/>
      <c r="I38"/>
      <c r="O38" s="105"/>
    </row>
    <row r="39" spans="1:15" ht="15.75" x14ac:dyDescent="0.25">
      <c r="A39" s="77" t="s">
        <v>151</v>
      </c>
      <c r="B39" s="79"/>
      <c r="C39" s="79"/>
      <c r="D39" s="79"/>
      <c r="E39" s="77">
        <v>0</v>
      </c>
      <c r="F39" s="77">
        <v>0</v>
      </c>
      <c r="G39" s="81">
        <f>IFERROR(SUM(B39*100)+(C39*50)+(D39*20),"")</f>
        <v>0</v>
      </c>
      <c r="H39" s="62"/>
      <c r="I39"/>
      <c r="O39" s="105"/>
    </row>
    <row r="40" spans="1:15" customFormat="1" x14ac:dyDescent="0.25">
      <c r="O40" s="105"/>
    </row>
    <row r="41" spans="1:15" ht="21" x14ac:dyDescent="0.35">
      <c r="A41" s="116" t="s">
        <v>146</v>
      </c>
      <c r="B41" s="116"/>
      <c r="C41" s="116"/>
      <c r="D41" s="116"/>
      <c r="E41" s="116"/>
      <c r="F41" s="116"/>
      <c r="G41" s="116"/>
      <c r="H41" s="62"/>
      <c r="I41"/>
      <c r="O41" s="105"/>
    </row>
    <row r="42" spans="1:15" x14ac:dyDescent="0.25">
      <c r="A42" s="63" t="s">
        <v>30</v>
      </c>
      <c r="B42" s="63"/>
      <c r="C42" s="63"/>
      <c r="D42" s="63"/>
      <c r="E42" s="75" t="s">
        <v>152</v>
      </c>
      <c r="F42" s="76" t="s">
        <v>33</v>
      </c>
      <c r="G42" s="76" t="s">
        <v>34</v>
      </c>
      <c r="H42" s="76" t="s">
        <v>44</v>
      </c>
      <c r="I42"/>
      <c r="O42" s="105"/>
    </row>
    <row r="43" spans="1:15" ht="15.75" x14ac:dyDescent="0.25">
      <c r="A43" s="74" t="s">
        <v>151</v>
      </c>
      <c r="B43" s="79"/>
      <c r="C43" s="79"/>
      <c r="D43" s="79"/>
      <c r="E43" s="81">
        <f>IFERROR(SUM(B43*100)+(C43*50)+(D43*20),"")</f>
        <v>0</v>
      </c>
      <c r="F43" s="80"/>
      <c r="G43" s="80"/>
      <c r="H43" s="80"/>
      <c r="I43"/>
      <c r="O43" s="105"/>
    </row>
    <row r="44" spans="1:15" x14ac:dyDescent="0.25">
      <c r="A44"/>
      <c r="B44"/>
      <c r="C44"/>
      <c r="D44"/>
      <c r="E44"/>
      <c r="F44"/>
      <c r="G44"/>
      <c r="H44" s="62"/>
      <c r="I44"/>
      <c r="O44" s="105"/>
    </row>
    <row r="45" spans="1:15" x14ac:dyDescent="0.25">
      <c r="B45" s="114" t="s">
        <v>147</v>
      </c>
      <c r="C45" s="115"/>
      <c r="H45" s="62"/>
      <c r="I45"/>
      <c r="O45" s="105"/>
    </row>
    <row r="46" spans="1:15" x14ac:dyDescent="0.25">
      <c r="A46" s="62"/>
      <c r="B46" s="73" t="s">
        <v>149</v>
      </c>
      <c r="C46" s="73" t="s">
        <v>148</v>
      </c>
      <c r="D46" s="65" t="s">
        <v>142</v>
      </c>
      <c r="E46" s="91" t="s">
        <v>143</v>
      </c>
      <c r="F46" s="65" t="s">
        <v>144</v>
      </c>
      <c r="G46" s="65" t="s">
        <v>138</v>
      </c>
      <c r="H46"/>
      <c r="I46"/>
      <c r="O46" s="105"/>
    </row>
    <row r="47" spans="1:15" x14ac:dyDescent="0.25">
      <c r="A47" s="66" t="s">
        <v>139</v>
      </c>
      <c r="B47" s="95">
        <f>C47*100</f>
        <v>0</v>
      </c>
      <c r="C47" s="94"/>
      <c r="D47" s="68">
        <f>B39</f>
        <v>0</v>
      </c>
      <c r="E47" s="92">
        <f>SUM(C47:D47)</f>
        <v>0</v>
      </c>
      <c r="F47" s="67">
        <f>B43</f>
        <v>0</v>
      </c>
      <c r="G47" s="67">
        <f>E47-F47</f>
        <v>0</v>
      </c>
      <c r="H47"/>
      <c r="I47"/>
      <c r="O47" s="105"/>
    </row>
    <row r="48" spans="1:15" x14ac:dyDescent="0.25">
      <c r="A48" s="66" t="s">
        <v>140</v>
      </c>
      <c r="B48" s="95">
        <f>C48*50</f>
        <v>0</v>
      </c>
      <c r="C48" s="79"/>
      <c r="D48" s="68">
        <f>C39</f>
        <v>0</v>
      </c>
      <c r="E48" s="92">
        <f>SUM(C48:D48)</f>
        <v>0</v>
      </c>
      <c r="F48" s="67">
        <f>C43</f>
        <v>0</v>
      </c>
      <c r="G48" s="67">
        <f>E48-F48</f>
        <v>0</v>
      </c>
      <c r="H48"/>
      <c r="I48"/>
      <c r="O48" s="105"/>
    </row>
    <row r="49" spans="1:15" x14ac:dyDescent="0.25">
      <c r="A49" s="66" t="s">
        <v>141</v>
      </c>
      <c r="B49" s="95">
        <f>C49*20</f>
        <v>0</v>
      </c>
      <c r="C49" s="79"/>
      <c r="D49" s="68">
        <f>D39</f>
        <v>0</v>
      </c>
      <c r="E49" s="92">
        <f>SUM(C49:D49)</f>
        <v>0</v>
      </c>
      <c r="F49" s="67">
        <f>D43</f>
        <v>0</v>
      </c>
      <c r="G49" s="67">
        <f>E49-F49</f>
        <v>0</v>
      </c>
      <c r="H49"/>
      <c r="I49"/>
      <c r="O49" s="105"/>
    </row>
    <row r="50" spans="1:15" x14ac:dyDescent="0.25">
      <c r="A50" s="69" t="s">
        <v>154</v>
      </c>
      <c r="B50" s="70">
        <f>SUM(B47:B49)</f>
        <v>0</v>
      </c>
      <c r="C50" s="64">
        <f>(C47*100)+(C48*50)+(C49*20)</f>
        <v>0</v>
      </c>
      <c r="D50" s="64">
        <f>(D47*100)+(D48*50)+(D49*20)</f>
        <v>0</v>
      </c>
      <c r="E50" s="93">
        <f>(E47*100)+(E48*50)+(E49*20)</f>
        <v>0</v>
      </c>
      <c r="F50" s="70">
        <f>(F47*100)+(F48*50)+(F49*20)</f>
        <v>0</v>
      </c>
      <c r="G50" s="70">
        <f>(G47*100)+(G48*50)+(G49*20)</f>
        <v>0</v>
      </c>
      <c r="H50"/>
      <c r="I50"/>
      <c r="O50" s="105"/>
    </row>
    <row r="51" spans="1:15" x14ac:dyDescent="0.25">
      <c r="O51" s="105"/>
    </row>
    <row r="52" spans="1:15" x14ac:dyDescent="0.25">
      <c r="O52" s="105"/>
    </row>
    <row r="53" spans="1:15" x14ac:dyDescent="0.25">
      <c r="A53" s="55"/>
      <c r="B53" s="55"/>
      <c r="C53" s="55"/>
      <c r="D53" s="55"/>
      <c r="E53" s="55"/>
      <c r="F53" s="55"/>
      <c r="G53" s="109" t="str">
        <f>"TB FORTE (" &amp;$B$33&amp; ")"</f>
        <v>TB FORTE ()</v>
      </c>
      <c r="H53" s="109"/>
      <c r="I53"/>
      <c r="J53"/>
      <c r="K53"/>
      <c r="L53"/>
      <c r="O53" s="105"/>
    </row>
    <row r="54" spans="1:15" x14ac:dyDescent="0.25">
      <c r="A54" s="55"/>
      <c r="B54" s="108" t="str">
        <f>"TB FORTE (" &amp;$B$33&amp; ")"</f>
        <v>TB FORTE ()</v>
      </c>
      <c r="C54" s="108"/>
      <c r="D54" s="55"/>
      <c r="E54" s="55"/>
      <c r="F54" s="55"/>
      <c r="G54" s="49" t="s">
        <v>125</v>
      </c>
      <c r="H54" s="88">
        <f>B35</f>
        <v>0</v>
      </c>
      <c r="I54"/>
      <c r="J54"/>
      <c r="K54"/>
      <c r="L54"/>
      <c r="O54" s="105"/>
    </row>
    <row r="55" spans="1:15" x14ac:dyDescent="0.25">
      <c r="A55" s="55"/>
      <c r="B55" s="56" t="s">
        <v>132</v>
      </c>
      <c r="C55" s="57">
        <f>G39</f>
        <v>0</v>
      </c>
      <c r="D55" s="55"/>
      <c r="E55" s="55"/>
      <c r="F55" s="55"/>
      <c r="G55" s="51" t="s">
        <v>126</v>
      </c>
      <c r="H55" s="52">
        <f>G43</f>
        <v>0</v>
      </c>
      <c r="I55"/>
      <c r="J55"/>
      <c r="K55"/>
      <c r="L55"/>
      <c r="O55" s="105"/>
    </row>
    <row r="56" spans="1:15" x14ac:dyDescent="0.25">
      <c r="A56" s="55"/>
      <c r="B56" s="56" t="s">
        <v>133</v>
      </c>
      <c r="C56" s="57">
        <f>B50</f>
        <v>0</v>
      </c>
      <c r="D56" s="55"/>
      <c r="E56" s="55"/>
      <c r="F56" s="55"/>
      <c r="G56" s="49" t="s">
        <v>127</v>
      </c>
      <c r="H56" s="53"/>
      <c r="I56"/>
      <c r="J56"/>
      <c r="K56"/>
      <c r="L56"/>
      <c r="O56" s="105"/>
    </row>
    <row r="57" spans="1:15" x14ac:dyDescent="0.25">
      <c r="A57" s="55"/>
      <c r="B57" s="56" t="s">
        <v>134</v>
      </c>
      <c r="C57" s="57" t="e">
        <f>E43/F43</f>
        <v>#DIV/0!</v>
      </c>
      <c r="D57" s="55"/>
      <c r="E57" s="55"/>
      <c r="F57" s="55"/>
      <c r="G57" s="51" t="s">
        <v>128</v>
      </c>
      <c r="H57" s="52">
        <f>F43</f>
        <v>0</v>
      </c>
      <c r="I57"/>
      <c r="J57"/>
      <c r="K57"/>
      <c r="L57"/>
      <c r="O57" s="105"/>
    </row>
    <row r="58" spans="1:15" x14ac:dyDescent="0.25">
      <c r="A58" s="55"/>
      <c r="B58" s="56" t="s">
        <v>135</v>
      </c>
      <c r="C58" s="57">
        <f>E43</f>
        <v>0</v>
      </c>
      <c r="D58" s="55"/>
      <c r="E58" s="55"/>
      <c r="F58" s="55"/>
      <c r="G58" s="49" t="s">
        <v>129</v>
      </c>
      <c r="H58" s="53">
        <f>H57+H59</f>
        <v>0</v>
      </c>
      <c r="I58"/>
      <c r="J58"/>
      <c r="K58"/>
      <c r="L58"/>
      <c r="O58" s="105"/>
    </row>
    <row r="59" spans="1:15" x14ac:dyDescent="0.25">
      <c r="A59" s="55"/>
      <c r="B59" s="58"/>
      <c r="C59" s="59"/>
      <c r="D59" s="55"/>
      <c r="E59" s="55"/>
      <c r="F59" s="55"/>
      <c r="G59" s="51" t="str">
        <f>"QTD. PCs NO RISCO DE PARADA 20h00 (DIA "&amp; DAY(H65)&amp;"."&amp;MONTH(H65)&amp;"."&amp;YEAR(H65)&amp;"):"</f>
        <v>QTD. PCs NO RISCO DE PARADA 20h00 (DIA 0.1.1900):</v>
      </c>
      <c r="H59" s="52"/>
      <c r="I59"/>
      <c r="J59"/>
      <c r="K59"/>
      <c r="L59"/>
      <c r="O59" s="105"/>
    </row>
    <row r="60" spans="1:15" x14ac:dyDescent="0.25">
      <c r="A60" s="55"/>
      <c r="B60" s="60" t="s">
        <v>136</v>
      </c>
      <c r="C60" s="61">
        <f>C55+C56-C58</f>
        <v>0</v>
      </c>
      <c r="D60" s="55"/>
      <c r="E60" s="55"/>
      <c r="F60" s="55"/>
      <c r="G60" s="54" t="s">
        <v>130</v>
      </c>
      <c r="H60" s="50">
        <f>H55-H57</f>
        <v>0</v>
      </c>
      <c r="I60"/>
      <c r="J60"/>
      <c r="K60"/>
      <c r="L60"/>
      <c r="O60" s="105"/>
    </row>
    <row r="61" spans="1:15" x14ac:dyDescent="0.25">
      <c r="A61" s="55"/>
      <c r="B61" s="55"/>
      <c r="C61" s="55"/>
      <c r="D61" s="55"/>
      <c r="E61" s="55"/>
      <c r="F61" s="55"/>
      <c r="G61" s="51" t="s">
        <v>131</v>
      </c>
      <c r="H61" s="102">
        <f>$E$33</f>
        <v>0</v>
      </c>
      <c r="I61"/>
      <c r="J61"/>
      <c r="K61"/>
      <c r="L61"/>
      <c r="O61" s="105"/>
    </row>
    <row r="62" spans="1:15" x14ac:dyDescent="0.25">
      <c r="A62" s="55"/>
      <c r="B62"/>
      <c r="C62"/>
      <c r="D62" s="55"/>
      <c r="E62" s="55"/>
      <c r="F62" s="55"/>
      <c r="G62"/>
      <c r="H62"/>
      <c r="I62"/>
      <c r="J62"/>
      <c r="K62"/>
      <c r="L62"/>
      <c r="O62" s="105"/>
    </row>
    <row r="63" spans="1:15" x14ac:dyDescent="0.25">
      <c r="A63" s="55"/>
      <c r="B63"/>
      <c r="C63"/>
      <c r="D63" s="55"/>
      <c r="E63" s="55"/>
      <c r="F63" s="55"/>
      <c r="G63"/>
      <c r="H63"/>
      <c r="I63"/>
      <c r="J63"/>
      <c r="K63"/>
      <c r="L63"/>
      <c r="O63" s="105"/>
    </row>
    <row r="64" spans="1:15" x14ac:dyDescent="0.25">
      <c r="A64" s="55"/>
      <c r="B64"/>
      <c r="C64"/>
      <c r="D64" s="55"/>
      <c r="E64" s="55"/>
      <c r="F64" s="55"/>
      <c r="G64"/>
      <c r="H64"/>
      <c r="I64"/>
      <c r="J64"/>
      <c r="K64"/>
      <c r="L64"/>
      <c r="O64" s="105"/>
    </row>
    <row r="65" spans="1:15" x14ac:dyDescent="0.25">
      <c r="A65" s="55"/>
      <c r="D65" s="55"/>
      <c r="E65" s="55"/>
      <c r="F65" s="55"/>
      <c r="G65" s="48" t="s">
        <v>162</v>
      </c>
      <c r="H65" s="98"/>
      <c r="I65"/>
      <c r="J65"/>
      <c r="K65"/>
      <c r="L65"/>
      <c r="O65" s="105"/>
    </row>
    <row r="66" spans="1:15" x14ac:dyDescent="0.25">
      <c r="A66" s="55"/>
      <c r="D66" s="55"/>
      <c r="E66" s="55"/>
      <c r="F66" s="55"/>
      <c r="G66"/>
      <c r="H66"/>
      <c r="I66"/>
      <c r="J66"/>
      <c r="K66"/>
      <c r="L66"/>
      <c r="O66" s="105"/>
    </row>
    <row r="67" spans="1:15" x14ac:dyDescent="0.25">
      <c r="A67" s="55"/>
      <c r="D67" s="55"/>
      <c r="E67" s="55"/>
      <c r="F67" s="55"/>
      <c r="G67"/>
      <c r="H67"/>
      <c r="I67"/>
      <c r="J67"/>
      <c r="K67"/>
      <c r="L67"/>
      <c r="O67" s="105"/>
    </row>
    <row r="68" spans="1:15" x14ac:dyDescent="0.25">
      <c r="A68" s="55"/>
      <c r="D68" s="55"/>
      <c r="E68" s="55"/>
      <c r="F68" s="55"/>
      <c r="G68"/>
      <c r="H68"/>
      <c r="I68"/>
      <c r="J68"/>
      <c r="K68"/>
      <c r="L68"/>
      <c r="O68" s="105"/>
    </row>
    <row r="69" spans="1:15" x14ac:dyDescent="0.25">
      <c r="A69" s="55"/>
      <c r="D69" s="55"/>
      <c r="E69" s="55"/>
      <c r="F69" s="55"/>
      <c r="G69"/>
      <c r="H69"/>
      <c r="I69"/>
      <c r="J69"/>
      <c r="K69"/>
      <c r="L69"/>
      <c r="O69" s="105"/>
    </row>
    <row r="70" spans="1:15" x14ac:dyDescent="0.25">
      <c r="A70" s="55"/>
      <c r="D70" s="55"/>
      <c r="E70" s="55"/>
      <c r="F70" s="55"/>
      <c r="G70"/>
      <c r="H70"/>
      <c r="I70"/>
      <c r="J70"/>
      <c r="K70"/>
      <c r="L70"/>
    </row>
    <row r="71" spans="1:15" x14ac:dyDescent="0.25">
      <c r="A71" s="55"/>
      <c r="D71" s="55"/>
      <c r="E71" s="55"/>
      <c r="F71" s="55"/>
      <c r="G71"/>
      <c r="H71"/>
      <c r="I71"/>
      <c r="J71"/>
      <c r="K71"/>
      <c r="L71"/>
    </row>
    <row r="72" spans="1:15" x14ac:dyDescent="0.25">
      <c r="A72" s="55"/>
      <c r="D72" s="55"/>
      <c r="E72" s="55"/>
      <c r="F72" s="55"/>
      <c r="G72"/>
      <c r="H72"/>
      <c r="I72"/>
      <c r="J72"/>
      <c r="K72"/>
      <c r="L72"/>
    </row>
  </sheetData>
  <mergeCells count="11">
    <mergeCell ref="O1:O29"/>
    <mergeCell ref="O30:O69"/>
    <mergeCell ref="B54:C54"/>
    <mergeCell ref="G53:H53"/>
    <mergeCell ref="D3:E3"/>
    <mergeCell ref="M1:N1"/>
    <mergeCell ref="B45:C45"/>
    <mergeCell ref="A37:G37"/>
    <mergeCell ref="A41:G41"/>
    <mergeCell ref="M30:N30"/>
    <mergeCell ref="I30:J30"/>
  </mergeCells>
  <conditionalFormatting sqref="G47:G49">
    <cfRule type="cellIs" dxfId="0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9"/>
  <dimension ref="A1:B21"/>
  <sheetViews>
    <sheetView workbookViewId="0">
      <selection activeCell="A21" sqref="A21"/>
    </sheetView>
  </sheetViews>
  <sheetFormatPr defaultRowHeight="15" x14ac:dyDescent="0.25"/>
  <cols>
    <col min="1" max="1" width="77" bestFit="1" customWidth="1"/>
    <col min="2" max="2" width="38.42578125" customWidth="1"/>
  </cols>
  <sheetData>
    <row r="1" spans="1:2" x14ac:dyDescent="0.25">
      <c r="A1" s="119" t="s">
        <v>163</v>
      </c>
      <c r="B1" s="119"/>
    </row>
    <row r="2" spans="1:2" ht="15.75" x14ac:dyDescent="0.25">
      <c r="A2" s="41" t="str">
        <f ca="1">IF(HOUR(NOW())&lt;12,"Bom dia, Srs.",IF(HOUR(NOW())&lt;18,"Boa tarde, Srs.","Boa noite,Srs."))</f>
        <v>Boa tarde, Srs.</v>
      </c>
    </row>
    <row r="3" spans="1:2" x14ac:dyDescent="0.25">
      <c r="A3" s="42"/>
      <c r="B3" s="43"/>
    </row>
    <row r="4" spans="1:2" ht="16.5" x14ac:dyDescent="0.25">
      <c r="A4" s="45" t="s">
        <v>122</v>
      </c>
    </row>
    <row r="5" spans="1:2" ht="15.75" thickBot="1" x14ac:dyDescent="0.3">
      <c r="A5" s="42"/>
    </row>
    <row r="6" spans="1:2" x14ac:dyDescent="0.25">
      <c r="A6" s="44"/>
      <c r="B6" s="44"/>
    </row>
    <row r="7" spans="1:2" x14ac:dyDescent="0.25">
      <c r="A7" s="119" t="s">
        <v>164</v>
      </c>
      <c r="B7" s="119"/>
    </row>
    <row r="8" spans="1:2" ht="15.75" x14ac:dyDescent="0.25">
      <c r="A8" s="41" t="str">
        <f ca="1">IF(HOUR(NOW())&lt;12,"Bom dia, Srs.",IF(HOUR(NOW())&lt;18,"Boa tarde, Srs.","Boa noite,Srs."))</f>
        <v>Boa tarde, Srs.</v>
      </c>
    </row>
    <row r="9" spans="1:2" x14ac:dyDescent="0.25">
      <c r="A9" s="42"/>
    </row>
    <row r="10" spans="1:2" ht="16.5" x14ac:dyDescent="0.25">
      <c r="A10" s="45" t="s">
        <v>165</v>
      </c>
    </row>
    <row r="11" spans="1:2" ht="16.5" x14ac:dyDescent="0.25">
      <c r="A11" s="100">
        <f>APOIO!$B$35</f>
        <v>0</v>
      </c>
    </row>
    <row r="13" spans="1:2" ht="15.75" thickBot="1" x14ac:dyDescent="0.3">
      <c r="A13" s="42"/>
    </row>
    <row r="14" spans="1:2" x14ac:dyDescent="0.25">
      <c r="A14" s="44"/>
      <c r="B14" s="44"/>
    </row>
    <row r="15" spans="1:2" x14ac:dyDescent="0.25">
      <c r="A15" s="119" t="s">
        <v>166</v>
      </c>
      <c r="B15" s="119"/>
    </row>
    <row r="16" spans="1:2" ht="15.75" x14ac:dyDescent="0.25">
      <c r="A16" s="41" t="str">
        <f ca="1">IF(HOUR(NOW())&lt;12,"Bom dia, Srs.",IF(HOUR(NOW())&lt;18,"Boa tarde, Srs.","Boa noite,Srs."))</f>
        <v>Boa tarde, Srs.</v>
      </c>
    </row>
    <row r="17" spans="1:1" x14ac:dyDescent="0.25">
      <c r="A17" s="42"/>
    </row>
    <row r="18" spans="1:1" ht="16.5" x14ac:dyDescent="0.25">
      <c r="A18" s="101" t="s">
        <v>167</v>
      </c>
    </row>
    <row r="19" spans="1:1" ht="16.5" x14ac:dyDescent="0.25">
      <c r="A19" s="100">
        <f>APOIO!$B$35</f>
        <v>0</v>
      </c>
    </row>
    <row r="21" spans="1:1" x14ac:dyDescent="0.25">
      <c r="A21" s="42"/>
    </row>
  </sheetData>
  <sheetProtection selectLockedCells="1" selectUnlockedCells="1"/>
  <mergeCells count="3">
    <mergeCell ref="A7:B7"/>
    <mergeCell ref="A1:B1"/>
    <mergeCell ref="A15:B15"/>
  </mergeCell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C113"/>
  <sheetViews>
    <sheetView zoomScale="70" zoomScaleNormal="70" workbookViewId="0">
      <selection sqref="A1:C1"/>
    </sheetView>
  </sheetViews>
  <sheetFormatPr defaultRowHeight="15" x14ac:dyDescent="0.25"/>
  <cols>
    <col min="1" max="1" width="31.140625" bestFit="1" customWidth="1"/>
    <col min="2" max="2" width="255.7109375" customWidth="1"/>
    <col min="3" max="3" width="255.42578125" customWidth="1"/>
  </cols>
  <sheetData>
    <row r="1" spans="1:3" ht="28.5" x14ac:dyDescent="0.45">
      <c r="A1" s="120" t="s">
        <v>168</v>
      </c>
      <c r="B1" s="120"/>
      <c r="C1" s="120"/>
    </row>
    <row r="2" spans="1:3" x14ac:dyDescent="0.25">
      <c r="A2" s="36" t="s">
        <v>69</v>
      </c>
      <c r="B2" s="37" t="s">
        <v>70</v>
      </c>
      <c r="C2" s="37" t="s">
        <v>71</v>
      </c>
    </row>
    <row r="3" spans="1:3" x14ac:dyDescent="0.25">
      <c r="A3" s="7" t="s">
        <v>0</v>
      </c>
      <c r="B3" s="40" t="s">
        <v>74</v>
      </c>
      <c r="C3" s="38" t="s">
        <v>75</v>
      </c>
    </row>
    <row r="4" spans="1:3" x14ac:dyDescent="0.25">
      <c r="A4" s="7" t="s">
        <v>1</v>
      </c>
      <c r="B4" s="40" t="s">
        <v>76</v>
      </c>
      <c r="C4" s="38" t="s">
        <v>77</v>
      </c>
    </row>
    <row r="5" spans="1:3" x14ac:dyDescent="0.25">
      <c r="A5" s="7" t="s">
        <v>2</v>
      </c>
      <c r="B5" s="40" t="s">
        <v>78</v>
      </c>
      <c r="C5" s="38" t="s">
        <v>79</v>
      </c>
    </row>
    <row r="6" spans="1:3" x14ac:dyDescent="0.25">
      <c r="A6" s="7" t="s">
        <v>3</v>
      </c>
      <c r="B6" s="40" t="s">
        <v>80</v>
      </c>
      <c r="C6" s="38" t="s">
        <v>81</v>
      </c>
    </row>
    <row r="7" spans="1:3" x14ac:dyDescent="0.25">
      <c r="A7" s="7" t="s">
        <v>4</v>
      </c>
      <c r="B7" s="40" t="s">
        <v>82</v>
      </c>
      <c r="C7" s="38" t="s">
        <v>83</v>
      </c>
    </row>
    <row r="8" spans="1:3" x14ac:dyDescent="0.25">
      <c r="A8" s="7" t="s">
        <v>43</v>
      </c>
      <c r="B8" s="40" t="s">
        <v>84</v>
      </c>
      <c r="C8" s="38" t="s">
        <v>85</v>
      </c>
    </row>
    <row r="9" spans="1:3" x14ac:dyDescent="0.25">
      <c r="A9" s="7" t="s">
        <v>5</v>
      </c>
      <c r="B9" s="40" t="s">
        <v>76</v>
      </c>
      <c r="C9" s="38" t="s">
        <v>86</v>
      </c>
    </row>
    <row r="10" spans="1:3" x14ac:dyDescent="0.25">
      <c r="A10" s="7" t="s">
        <v>6</v>
      </c>
      <c r="B10" s="40" t="s">
        <v>87</v>
      </c>
      <c r="C10" s="38" t="s">
        <v>72</v>
      </c>
    </row>
    <row r="11" spans="1:3" x14ac:dyDescent="0.25">
      <c r="A11" s="7" t="s">
        <v>7</v>
      </c>
      <c r="B11" s="40" t="s">
        <v>88</v>
      </c>
      <c r="C11" s="38" t="s">
        <v>89</v>
      </c>
    </row>
    <row r="12" spans="1:3" x14ac:dyDescent="0.25">
      <c r="A12" s="7" t="s">
        <v>8</v>
      </c>
      <c r="B12" s="40" t="s">
        <v>90</v>
      </c>
      <c r="C12" s="38" t="s">
        <v>91</v>
      </c>
    </row>
    <row r="13" spans="1:3" x14ac:dyDescent="0.25">
      <c r="A13" s="7" t="s">
        <v>9</v>
      </c>
      <c r="B13" s="40" t="s">
        <v>92</v>
      </c>
      <c r="C13" s="38" t="s">
        <v>93</v>
      </c>
    </row>
    <row r="14" spans="1:3" x14ac:dyDescent="0.25">
      <c r="A14" s="7" t="s">
        <v>10</v>
      </c>
      <c r="B14" s="40" t="s">
        <v>94</v>
      </c>
      <c r="C14" s="38" t="s">
        <v>95</v>
      </c>
    </row>
    <row r="15" spans="1:3" x14ac:dyDescent="0.25">
      <c r="A15" s="7" t="s">
        <v>11</v>
      </c>
      <c r="B15" s="40" t="s">
        <v>96</v>
      </c>
      <c r="C15" s="38" t="s">
        <v>97</v>
      </c>
    </row>
    <row r="16" spans="1:3" x14ac:dyDescent="0.25">
      <c r="A16" s="7" t="s">
        <v>12</v>
      </c>
      <c r="B16" s="40" t="s">
        <v>98</v>
      </c>
      <c r="C16" s="38" t="s">
        <v>99</v>
      </c>
    </row>
    <row r="17" spans="1:3" x14ac:dyDescent="0.25">
      <c r="A17" s="7" t="s">
        <v>13</v>
      </c>
      <c r="B17" s="40" t="s">
        <v>100</v>
      </c>
      <c r="C17" s="38" t="s">
        <v>101</v>
      </c>
    </row>
    <row r="18" spans="1:3" x14ac:dyDescent="0.25">
      <c r="A18" s="7" t="s">
        <v>14</v>
      </c>
      <c r="B18" s="40" t="s">
        <v>102</v>
      </c>
      <c r="C18" s="38" t="s">
        <v>103</v>
      </c>
    </row>
    <row r="19" spans="1:3" x14ac:dyDescent="0.25">
      <c r="A19" s="7" t="s">
        <v>15</v>
      </c>
      <c r="B19" s="40" t="s">
        <v>104</v>
      </c>
      <c r="C19" s="38" t="s">
        <v>85</v>
      </c>
    </row>
    <row r="20" spans="1:3" x14ac:dyDescent="0.25">
      <c r="A20" s="7" t="s">
        <v>16</v>
      </c>
      <c r="B20" s="40" t="s">
        <v>105</v>
      </c>
      <c r="C20" s="38" t="s">
        <v>106</v>
      </c>
    </row>
    <row r="21" spans="1:3" x14ac:dyDescent="0.25">
      <c r="A21" s="7" t="s">
        <v>17</v>
      </c>
      <c r="B21" s="40" t="s">
        <v>107</v>
      </c>
      <c r="C21" s="38" t="s">
        <v>85</v>
      </c>
    </row>
    <row r="22" spans="1:3" x14ac:dyDescent="0.25">
      <c r="A22" s="7" t="s">
        <v>18</v>
      </c>
      <c r="B22" s="40" t="s">
        <v>108</v>
      </c>
      <c r="C22" s="38" t="s">
        <v>109</v>
      </c>
    </row>
    <row r="23" spans="1:3" x14ac:dyDescent="0.25">
      <c r="A23" s="7" t="s">
        <v>19</v>
      </c>
      <c r="B23" s="40" t="s">
        <v>110</v>
      </c>
      <c r="C23" s="38" t="s">
        <v>111</v>
      </c>
    </row>
    <row r="24" spans="1:3" x14ac:dyDescent="0.25">
      <c r="A24" s="7" t="s">
        <v>20</v>
      </c>
      <c r="B24" s="40" t="s">
        <v>112</v>
      </c>
      <c r="C24" s="38" t="s">
        <v>113</v>
      </c>
    </row>
    <row r="25" spans="1:3" x14ac:dyDescent="0.25">
      <c r="A25" s="7" t="s">
        <v>21</v>
      </c>
      <c r="B25" s="40" t="s">
        <v>114</v>
      </c>
      <c r="C25" s="38" t="s">
        <v>115</v>
      </c>
    </row>
    <row r="26" spans="1:3" x14ac:dyDescent="0.25">
      <c r="A26" s="7" t="s">
        <v>22</v>
      </c>
      <c r="B26" s="40" t="s">
        <v>116</v>
      </c>
      <c r="C26" s="38" t="s">
        <v>88</v>
      </c>
    </row>
    <row r="27" spans="1:3" x14ac:dyDescent="0.25">
      <c r="A27" s="7" t="s">
        <v>23</v>
      </c>
      <c r="B27" s="40" t="s">
        <v>117</v>
      </c>
      <c r="C27" s="38" t="s">
        <v>85</v>
      </c>
    </row>
    <row r="28" spans="1:3" x14ac:dyDescent="0.25">
      <c r="A28" s="7" t="s">
        <v>24</v>
      </c>
      <c r="B28" s="38" t="s">
        <v>118</v>
      </c>
      <c r="C28" s="38" t="s">
        <v>119</v>
      </c>
    </row>
    <row r="29" spans="1:3" x14ac:dyDescent="0.25">
      <c r="A29" s="7" t="s">
        <v>25</v>
      </c>
      <c r="B29" s="38" t="s">
        <v>120</v>
      </c>
      <c r="C29" s="38" t="s">
        <v>121</v>
      </c>
    </row>
    <row r="30" spans="1:3" x14ac:dyDescent="0.25">
      <c r="A30" s="7" t="s">
        <v>26</v>
      </c>
      <c r="B30" s="39" t="s">
        <v>73</v>
      </c>
      <c r="C30" s="39" t="s">
        <v>73</v>
      </c>
    </row>
    <row r="31" spans="1:3" x14ac:dyDescent="0.25">
      <c r="A31" s="7" t="s">
        <v>27</v>
      </c>
      <c r="B31" s="39" t="s">
        <v>73</v>
      </c>
      <c r="C31" s="39" t="s">
        <v>73</v>
      </c>
    </row>
    <row r="42" spans="1:3" ht="28.5" x14ac:dyDescent="0.45">
      <c r="A42" s="120" t="s">
        <v>169</v>
      </c>
      <c r="B42" s="120"/>
      <c r="C42" s="120"/>
    </row>
    <row r="43" spans="1:3" x14ac:dyDescent="0.25">
      <c r="A43" s="36" t="s">
        <v>69</v>
      </c>
      <c r="B43" s="37" t="s">
        <v>70</v>
      </c>
      <c r="C43" s="37" t="s">
        <v>71</v>
      </c>
    </row>
    <row r="44" spans="1:3" x14ac:dyDescent="0.25">
      <c r="A44" s="7" t="s">
        <v>0</v>
      </c>
      <c r="B44" s="39" t="s">
        <v>73</v>
      </c>
      <c r="C44" s="39" t="s">
        <v>73</v>
      </c>
    </row>
    <row r="45" spans="1:3" x14ac:dyDescent="0.25">
      <c r="A45" s="7" t="s">
        <v>1</v>
      </c>
      <c r="B45" s="39" t="s">
        <v>73</v>
      </c>
      <c r="C45" s="39" t="s">
        <v>73</v>
      </c>
    </row>
    <row r="46" spans="1:3" x14ac:dyDescent="0.25">
      <c r="A46" s="7" t="s">
        <v>2</v>
      </c>
      <c r="B46" s="39" t="s">
        <v>73</v>
      </c>
      <c r="C46" s="39" t="s">
        <v>73</v>
      </c>
    </row>
    <row r="47" spans="1:3" x14ac:dyDescent="0.25">
      <c r="A47" s="7" t="s">
        <v>3</v>
      </c>
      <c r="B47" s="39" t="s">
        <v>73</v>
      </c>
      <c r="C47" s="39" t="s">
        <v>73</v>
      </c>
    </row>
    <row r="48" spans="1:3" x14ac:dyDescent="0.25">
      <c r="A48" s="7" t="s">
        <v>4</v>
      </c>
      <c r="B48" s="39" t="s">
        <v>73</v>
      </c>
      <c r="C48" s="39" t="s">
        <v>73</v>
      </c>
    </row>
    <row r="49" spans="1:3" x14ac:dyDescent="0.25">
      <c r="A49" s="7" t="s">
        <v>43</v>
      </c>
      <c r="B49" s="39" t="s">
        <v>73</v>
      </c>
      <c r="C49" s="39" t="s">
        <v>73</v>
      </c>
    </row>
    <row r="50" spans="1:3" x14ac:dyDescent="0.25">
      <c r="A50" s="7" t="s">
        <v>5</v>
      </c>
      <c r="B50" s="39" t="s">
        <v>73</v>
      </c>
      <c r="C50" s="39" t="s">
        <v>73</v>
      </c>
    </row>
    <row r="51" spans="1:3" x14ac:dyDescent="0.25">
      <c r="A51" s="7" t="s">
        <v>6</v>
      </c>
      <c r="B51" s="39" t="s">
        <v>73</v>
      </c>
      <c r="C51" s="39" t="s">
        <v>73</v>
      </c>
    </row>
    <row r="52" spans="1:3" x14ac:dyDescent="0.25">
      <c r="A52" s="7" t="s">
        <v>7</v>
      </c>
      <c r="B52" s="39" t="s">
        <v>73</v>
      </c>
      <c r="C52" s="39" t="s">
        <v>73</v>
      </c>
    </row>
    <row r="53" spans="1:3" x14ac:dyDescent="0.25">
      <c r="A53" s="7" t="s">
        <v>8</v>
      </c>
      <c r="B53" s="39" t="s">
        <v>73</v>
      </c>
      <c r="C53" s="39" t="s">
        <v>73</v>
      </c>
    </row>
    <row r="54" spans="1:3" x14ac:dyDescent="0.25">
      <c r="A54" s="7" t="s">
        <v>9</v>
      </c>
      <c r="B54" s="39" t="s">
        <v>73</v>
      </c>
      <c r="C54" s="39" t="s">
        <v>73</v>
      </c>
    </row>
    <row r="55" spans="1:3" x14ac:dyDescent="0.25">
      <c r="A55" s="7" t="s">
        <v>10</v>
      </c>
      <c r="B55" s="39" t="s">
        <v>73</v>
      </c>
      <c r="C55" s="39" t="s">
        <v>73</v>
      </c>
    </row>
    <row r="56" spans="1:3" x14ac:dyDescent="0.25">
      <c r="A56" s="7" t="s">
        <v>11</v>
      </c>
      <c r="B56" s="39" t="s">
        <v>73</v>
      </c>
      <c r="C56" s="39" t="s">
        <v>73</v>
      </c>
    </row>
    <row r="57" spans="1:3" x14ac:dyDescent="0.25">
      <c r="A57" s="7" t="s">
        <v>12</v>
      </c>
      <c r="B57" s="39" t="s">
        <v>73</v>
      </c>
      <c r="C57" s="39" t="s">
        <v>73</v>
      </c>
    </row>
    <row r="58" spans="1:3" x14ac:dyDescent="0.25">
      <c r="A58" s="7" t="s">
        <v>13</v>
      </c>
      <c r="B58" s="39" t="s">
        <v>73</v>
      </c>
      <c r="C58" s="39" t="s">
        <v>73</v>
      </c>
    </row>
    <row r="59" spans="1:3" x14ac:dyDescent="0.25">
      <c r="A59" s="7" t="s">
        <v>14</v>
      </c>
      <c r="B59" s="39" t="s">
        <v>73</v>
      </c>
      <c r="C59" s="39" t="s">
        <v>73</v>
      </c>
    </row>
    <row r="60" spans="1:3" x14ac:dyDescent="0.25">
      <c r="A60" s="7" t="s">
        <v>15</v>
      </c>
      <c r="B60" s="39" t="s">
        <v>73</v>
      </c>
      <c r="C60" s="39" t="s">
        <v>73</v>
      </c>
    </row>
    <row r="61" spans="1:3" x14ac:dyDescent="0.25">
      <c r="A61" s="7" t="s">
        <v>16</v>
      </c>
      <c r="B61" s="39" t="s">
        <v>73</v>
      </c>
      <c r="C61" s="39" t="s">
        <v>73</v>
      </c>
    </row>
    <row r="62" spans="1:3" x14ac:dyDescent="0.25">
      <c r="A62" s="7" t="s">
        <v>17</v>
      </c>
      <c r="B62" s="39" t="s">
        <v>73</v>
      </c>
      <c r="C62" s="39" t="s">
        <v>73</v>
      </c>
    </row>
    <row r="63" spans="1:3" x14ac:dyDescent="0.25">
      <c r="A63" s="7" t="s">
        <v>18</v>
      </c>
      <c r="B63" s="39" t="s">
        <v>73</v>
      </c>
      <c r="C63" s="39" t="s">
        <v>73</v>
      </c>
    </row>
    <row r="64" spans="1:3" x14ac:dyDescent="0.25">
      <c r="A64" s="7" t="s">
        <v>19</v>
      </c>
      <c r="B64" s="39" t="s">
        <v>73</v>
      </c>
      <c r="C64" s="39" t="s">
        <v>73</v>
      </c>
    </row>
    <row r="65" spans="1:3" x14ac:dyDescent="0.25">
      <c r="A65" s="7" t="s">
        <v>20</v>
      </c>
      <c r="B65" s="39" t="s">
        <v>73</v>
      </c>
      <c r="C65" s="39" t="s">
        <v>73</v>
      </c>
    </row>
    <row r="66" spans="1:3" x14ac:dyDescent="0.25">
      <c r="A66" s="7" t="s">
        <v>21</v>
      </c>
      <c r="B66" s="39" t="s">
        <v>73</v>
      </c>
      <c r="C66" s="39" t="s">
        <v>73</v>
      </c>
    </row>
    <row r="67" spans="1:3" x14ac:dyDescent="0.25">
      <c r="A67" s="7" t="s">
        <v>22</v>
      </c>
      <c r="B67" s="39" t="s">
        <v>73</v>
      </c>
      <c r="C67" s="39" t="s">
        <v>73</v>
      </c>
    </row>
    <row r="68" spans="1:3" x14ac:dyDescent="0.25">
      <c r="A68" s="7" t="s">
        <v>23</v>
      </c>
      <c r="B68" s="39" t="s">
        <v>73</v>
      </c>
      <c r="C68" s="39" t="s">
        <v>73</v>
      </c>
    </row>
    <row r="69" spans="1:3" x14ac:dyDescent="0.25">
      <c r="A69" s="7" t="s">
        <v>24</v>
      </c>
      <c r="B69" s="39" t="s">
        <v>73</v>
      </c>
      <c r="C69" s="39" t="s">
        <v>73</v>
      </c>
    </row>
    <row r="70" spans="1:3" x14ac:dyDescent="0.25">
      <c r="A70" s="7" t="s">
        <v>25</v>
      </c>
      <c r="B70" s="39" t="s">
        <v>73</v>
      </c>
      <c r="C70" s="39" t="s">
        <v>73</v>
      </c>
    </row>
    <row r="71" spans="1:3" x14ac:dyDescent="0.25">
      <c r="A71" s="7" t="s">
        <v>26</v>
      </c>
      <c r="B71" s="39" t="s">
        <v>73</v>
      </c>
      <c r="C71" s="39" t="s">
        <v>73</v>
      </c>
    </row>
    <row r="72" spans="1:3" x14ac:dyDescent="0.25">
      <c r="A72" s="7" t="s">
        <v>27</v>
      </c>
      <c r="B72" s="39" t="s">
        <v>73</v>
      </c>
      <c r="C72" s="39" t="s">
        <v>73</v>
      </c>
    </row>
    <row r="83" spans="1:3" ht="28.5" x14ac:dyDescent="0.45">
      <c r="A83" s="120" t="s">
        <v>170</v>
      </c>
      <c r="B83" s="120"/>
      <c r="C83" s="120"/>
    </row>
    <row r="84" spans="1:3" x14ac:dyDescent="0.25">
      <c r="A84" s="36" t="s">
        <v>69</v>
      </c>
      <c r="B84" s="37" t="s">
        <v>70</v>
      </c>
      <c r="C84" s="37" t="s">
        <v>71</v>
      </c>
    </row>
    <row r="85" spans="1:3" x14ac:dyDescent="0.25">
      <c r="A85" s="7" t="s">
        <v>0</v>
      </c>
      <c r="B85" s="39" t="s">
        <v>73</v>
      </c>
      <c r="C85" s="39" t="s">
        <v>73</v>
      </c>
    </row>
    <row r="86" spans="1:3" x14ac:dyDescent="0.25">
      <c r="A86" s="7" t="s">
        <v>1</v>
      </c>
      <c r="B86" s="39" t="s">
        <v>73</v>
      </c>
      <c r="C86" s="39" t="s">
        <v>73</v>
      </c>
    </row>
    <row r="87" spans="1:3" x14ac:dyDescent="0.25">
      <c r="A87" s="7" t="s">
        <v>2</v>
      </c>
      <c r="B87" s="39" t="s">
        <v>73</v>
      </c>
      <c r="C87" s="39" t="s">
        <v>73</v>
      </c>
    </row>
    <row r="88" spans="1:3" x14ac:dyDescent="0.25">
      <c r="A88" s="7" t="s">
        <v>3</v>
      </c>
      <c r="B88" s="39" t="s">
        <v>73</v>
      </c>
      <c r="C88" s="39" t="s">
        <v>73</v>
      </c>
    </row>
    <row r="89" spans="1:3" x14ac:dyDescent="0.25">
      <c r="A89" s="7" t="s">
        <v>4</v>
      </c>
      <c r="B89" s="39" t="s">
        <v>73</v>
      </c>
      <c r="C89" s="39" t="s">
        <v>73</v>
      </c>
    </row>
    <row r="90" spans="1:3" x14ac:dyDescent="0.25">
      <c r="A90" s="7" t="s">
        <v>43</v>
      </c>
      <c r="B90" s="39" t="s">
        <v>73</v>
      </c>
      <c r="C90" s="39" t="s">
        <v>73</v>
      </c>
    </row>
    <row r="91" spans="1:3" x14ac:dyDescent="0.25">
      <c r="A91" s="7" t="s">
        <v>5</v>
      </c>
      <c r="B91" s="39" t="s">
        <v>73</v>
      </c>
      <c r="C91" s="39" t="s">
        <v>73</v>
      </c>
    </row>
    <row r="92" spans="1:3" x14ac:dyDescent="0.25">
      <c r="A92" s="7" t="s">
        <v>6</v>
      </c>
      <c r="B92" s="39" t="s">
        <v>73</v>
      </c>
      <c r="C92" s="39" t="s">
        <v>73</v>
      </c>
    </row>
    <row r="93" spans="1:3" x14ac:dyDescent="0.25">
      <c r="A93" s="7" t="s">
        <v>7</v>
      </c>
      <c r="B93" s="39" t="s">
        <v>73</v>
      </c>
      <c r="C93" s="39" t="s">
        <v>73</v>
      </c>
    </row>
    <row r="94" spans="1:3" x14ac:dyDescent="0.25">
      <c r="A94" s="7" t="s">
        <v>8</v>
      </c>
      <c r="B94" s="39" t="s">
        <v>73</v>
      </c>
      <c r="C94" s="39" t="s">
        <v>73</v>
      </c>
    </row>
    <row r="95" spans="1:3" x14ac:dyDescent="0.25">
      <c r="A95" s="7" t="s">
        <v>9</v>
      </c>
      <c r="B95" s="39" t="s">
        <v>73</v>
      </c>
      <c r="C95" s="39" t="s">
        <v>73</v>
      </c>
    </row>
    <row r="96" spans="1:3" x14ac:dyDescent="0.25">
      <c r="A96" s="7" t="s">
        <v>10</v>
      </c>
      <c r="B96" s="39" t="s">
        <v>73</v>
      </c>
      <c r="C96" s="39" t="s">
        <v>73</v>
      </c>
    </row>
    <row r="97" spans="1:3" x14ac:dyDescent="0.25">
      <c r="A97" s="7" t="s">
        <v>11</v>
      </c>
      <c r="B97" s="39" t="s">
        <v>73</v>
      </c>
      <c r="C97" s="39" t="s">
        <v>73</v>
      </c>
    </row>
    <row r="98" spans="1:3" x14ac:dyDescent="0.25">
      <c r="A98" s="7" t="s">
        <v>12</v>
      </c>
      <c r="B98" s="39" t="s">
        <v>73</v>
      </c>
      <c r="C98" s="39" t="s">
        <v>73</v>
      </c>
    </row>
    <row r="99" spans="1:3" x14ac:dyDescent="0.25">
      <c r="A99" s="7" t="s">
        <v>13</v>
      </c>
      <c r="B99" s="39" t="s">
        <v>73</v>
      </c>
      <c r="C99" s="39" t="s">
        <v>73</v>
      </c>
    </row>
    <row r="100" spans="1:3" x14ac:dyDescent="0.25">
      <c r="A100" s="7" t="s">
        <v>14</v>
      </c>
      <c r="B100" s="39" t="s">
        <v>73</v>
      </c>
      <c r="C100" s="39" t="s">
        <v>73</v>
      </c>
    </row>
    <row r="101" spans="1:3" x14ac:dyDescent="0.25">
      <c r="A101" s="7" t="s">
        <v>15</v>
      </c>
      <c r="B101" s="39" t="s">
        <v>73</v>
      </c>
      <c r="C101" s="39" t="s">
        <v>73</v>
      </c>
    </row>
    <row r="102" spans="1:3" x14ac:dyDescent="0.25">
      <c r="A102" s="7" t="s">
        <v>16</v>
      </c>
      <c r="B102" s="39" t="s">
        <v>73</v>
      </c>
      <c r="C102" s="39" t="s">
        <v>73</v>
      </c>
    </row>
    <row r="103" spans="1:3" x14ac:dyDescent="0.25">
      <c r="A103" s="7" t="s">
        <v>17</v>
      </c>
      <c r="B103" s="39" t="s">
        <v>73</v>
      </c>
      <c r="C103" s="39" t="s">
        <v>73</v>
      </c>
    </row>
    <row r="104" spans="1:3" x14ac:dyDescent="0.25">
      <c r="A104" s="7" t="s">
        <v>18</v>
      </c>
      <c r="B104" s="39" t="s">
        <v>73</v>
      </c>
      <c r="C104" s="39" t="s">
        <v>73</v>
      </c>
    </row>
    <row r="105" spans="1:3" x14ac:dyDescent="0.25">
      <c r="A105" s="7" t="s">
        <v>19</v>
      </c>
      <c r="B105" s="39" t="s">
        <v>73</v>
      </c>
      <c r="C105" s="39" t="s">
        <v>73</v>
      </c>
    </row>
    <row r="106" spans="1:3" x14ac:dyDescent="0.25">
      <c r="A106" s="7" t="s">
        <v>20</v>
      </c>
      <c r="B106" s="39" t="s">
        <v>73</v>
      </c>
      <c r="C106" s="39" t="s">
        <v>73</v>
      </c>
    </row>
    <row r="107" spans="1:3" x14ac:dyDescent="0.25">
      <c r="A107" s="7" t="s">
        <v>21</v>
      </c>
      <c r="B107" s="39" t="s">
        <v>73</v>
      </c>
      <c r="C107" s="39" t="s">
        <v>73</v>
      </c>
    </row>
    <row r="108" spans="1:3" x14ac:dyDescent="0.25">
      <c r="A108" s="7" t="s">
        <v>22</v>
      </c>
      <c r="B108" s="39" t="s">
        <v>73</v>
      </c>
      <c r="C108" s="39" t="s">
        <v>73</v>
      </c>
    </row>
    <row r="109" spans="1:3" x14ac:dyDescent="0.25">
      <c r="A109" s="7" t="s">
        <v>23</v>
      </c>
      <c r="B109" s="39" t="s">
        <v>73</v>
      </c>
      <c r="C109" s="39" t="s">
        <v>73</v>
      </c>
    </row>
    <row r="110" spans="1:3" x14ac:dyDescent="0.25">
      <c r="A110" s="7" t="s">
        <v>24</v>
      </c>
      <c r="B110" s="39" t="s">
        <v>73</v>
      </c>
      <c r="C110" s="39" t="s">
        <v>73</v>
      </c>
    </row>
    <row r="111" spans="1:3" x14ac:dyDescent="0.25">
      <c r="A111" s="7" t="s">
        <v>25</v>
      </c>
      <c r="B111" s="39" t="s">
        <v>73</v>
      </c>
      <c r="C111" s="39" t="s">
        <v>73</v>
      </c>
    </row>
    <row r="112" spans="1:3" x14ac:dyDescent="0.25">
      <c r="A112" s="7" t="s">
        <v>26</v>
      </c>
      <c r="B112" s="39" t="s">
        <v>73</v>
      </c>
      <c r="C112" s="39" t="s">
        <v>73</v>
      </c>
    </row>
    <row r="113" spans="1:3" x14ac:dyDescent="0.25">
      <c r="A113" s="7" t="s">
        <v>27</v>
      </c>
      <c r="B113" s="39" t="s">
        <v>73</v>
      </c>
      <c r="C113" s="39" t="s">
        <v>73</v>
      </c>
    </row>
  </sheetData>
  <sheetProtection selectLockedCells="1" selectUnlockedCells="1"/>
  <mergeCells count="3">
    <mergeCell ref="A1:C1"/>
    <mergeCell ref="A42:C42"/>
    <mergeCell ref="A83:C8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MENU</vt:lpstr>
      <vt:lpstr>ESQUELETO</vt:lpstr>
      <vt:lpstr>APOIO</vt:lpstr>
      <vt:lpstr>EMAIL</vt:lpstr>
      <vt:lpstr>DESTINATARIOS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 Tiago Goncalves Dos Reis</dc:creator>
  <cp:lastModifiedBy>Ricardo Tiago Goncalves Dos Reis</cp:lastModifiedBy>
  <dcterms:created xsi:type="dcterms:W3CDTF">2019-02-11T16:19:07Z</dcterms:created>
  <dcterms:modified xsi:type="dcterms:W3CDTF">2019-03-04T19:42:30Z</dcterms:modified>
</cp:coreProperties>
</file>